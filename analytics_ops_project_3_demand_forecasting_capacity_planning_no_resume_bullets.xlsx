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567fc09af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5b0c760d42a40b3"/>
    <x:sheet xmlns:r="http://schemas.openxmlformats.org/officeDocument/2006/relationships" name="Inputs" sheetId="2" r:id="R605edf1d95d74365"/>
    <x:sheet xmlns:r="http://schemas.openxmlformats.org/officeDocument/2006/relationships" name="Historical_Demand" sheetId="3" r:id="R8c2a3dc837164bce"/>
    <x:sheet xmlns:r="http://schemas.openxmlformats.org/officeDocument/2006/relationships" name="Forecast_Model" sheetId="4" r:id="R5535456ab80f4426"/>
    <x:sheet xmlns:r="http://schemas.openxmlformats.org/officeDocument/2006/relationships" name="Capacity_Plan" sheetId="5" r:id="R9179e1247ba64c4a"/>
    <x:sheet xmlns:r="http://schemas.openxmlformats.org/officeDocument/2006/relationships" name="SLA_Risk_Dashboard" sheetId="6" r:id="Rd93409b5f01144e5"/>
    <x:sheet xmlns:r="http://schemas.openxmlformats.org/officeDocument/2006/relationships" name="Staffing_Action_Plan" sheetId="7" r:id="Raa3d6d737db9424c"/>
    <x:sheet xmlns:r="http://schemas.openxmlformats.org/officeDocument/2006/relationships" name="Sources" sheetId="8" r:id="Rbfe0604272524b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.00"/>
    <x:numFmt numFmtId="202" formatCode="yyyy-mm-dd"/>
    <x:numFmt numFmtId="203" formatCode="#,##0"/>
    <x:numFmt numFmtId="204" formatCode="0"/>
    <x:numFmt numFmtId="205" formatCode="0.0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0"/>
      <x:color rgb="475569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1D4ED8"/>
      </x:patternFill>
    </x:fill>
    <x:fill>
      <x:patternFill patternType="solid">
        <x:fgColor rgb="E0F2FE"/>
      </x:patternFill>
    </x:fill>
  </x:fills>
  <x:borders count="20">
    <x:border/>
    <x:border/>
    <x:border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  <x:border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3" xfId="0" applyNumberFormat="1" applyFont="1" applyFill="1" applyBorder="1" applyAlignment="1">
      <x:alignment vertical="top" wrapText="1"/>
    </x:xf>
    <x:xf numFmtId="203" fontId="0" fillId="0" borderId="6" xfId="0" applyNumberFormat="1" applyFont="1" applyFill="1" applyBorder="1" applyAlignment="1">
      <x:alignment vertical="top" wrapText="1"/>
    </x:xf>
    <x:xf numFmtId="203" fontId="0" fillId="0" borderId="12" xfId="0" applyNumberFormat="1" applyFont="1" applyFill="1" applyBorder="1" applyAlignment="1">
      <x:alignment vertical="top" wrapText="1"/>
    </x:xf>
    <x:xf numFmtId="203" fontId="0" fillId="0" borderId="15" xfId="0" applyNumberFormat="1" applyFont="1" applyFill="1" applyBorder="1" applyAlignment="1">
      <x:alignment vertical="top" wrapText="1"/>
    </x:xf>
    <x:xf numFmtId="205" fontId="0" fillId="0" borderId="6" xfId="0" applyNumberFormat="1" applyFont="1" applyFill="1" applyBorder="1" applyAlignment="1">
      <x:alignment vertical="top" wrapText="1"/>
    </x:xf>
    <x:xf numFmtId="205" fontId="0" fillId="0" borderId="15" xfId="0" applyNumberFormat="1" applyFont="1" applyFill="1" applyBorder="1" applyAlignment="1">
      <x:alignment vertical="top" wrapText="1"/>
    </x:xf>
    <x:xf numFmtId="204" fontId="0" fillId="0" borderId="6" xfId="0" applyNumberFormat="1" applyFont="1" applyFill="1" applyBorder="1" applyAlignment="1">
      <x:alignment vertical="top" wrapText="1"/>
    </x:xf>
    <x:xf numFmtId="204" fontId="0" fillId="0" borderId="15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/>
    <x:xf numFmtId="203" fontId="0" fillId="0" borderId="3" xfId="0" applyNumberFormat="1" applyFont="1" applyFill="1" applyBorder="1"/>
    <x:xf numFmtId="205" fontId="0" fillId="0" borderId="3" xfId="0" applyNumberFormat="1" applyFont="1" applyFill="1" applyBorder="1"/>
    <x:xf numFmtId="202" fontId="0" fillId="0" borderId="5" xfId="0" applyNumberFormat="1" applyFont="1" applyFill="1" applyBorder="1"/>
    <x:xf numFmtId="203" fontId="0" fillId="0" borderId="6" xfId="0" applyNumberFormat="1" applyFont="1" applyFill="1" applyBorder="1"/>
    <x:xf numFmtId="205" fontId="0" fillId="0" borderId="6" xfId="0" applyNumberFormat="1" applyFont="1" applyFill="1" applyBorder="1"/>
    <x:xf numFmtId="202" fontId="0" fillId="0" borderId="8" xfId="0" applyNumberFormat="1" applyFont="1" applyFill="1" applyBorder="1"/>
    <x:xf numFmtId="203" fontId="0" fillId="0" borderId="9" xfId="0" applyNumberFormat="1" applyFont="1" applyFill="1" applyBorder="1"/>
    <x:xf numFmtId="205" fontId="0" fillId="0" borderId="9" xfId="0" applyNumberFormat="1" applyFont="1" applyFill="1" applyBorder="1"/>
    <x:xf numFmtId="202" fontId="0" fillId="0" borderId="11" xfId="0" applyNumberFormat="1" applyFont="1" applyFill="1" applyBorder="1"/>
    <x:xf numFmtId="203" fontId="0" fillId="0" borderId="12" xfId="0" applyNumberFormat="1" applyFont="1" applyFill="1" applyBorder="1"/>
    <x:xf numFmtId="205" fontId="0" fillId="0" borderId="12" xfId="0" applyNumberFormat="1" applyFont="1" applyFill="1" applyBorder="1"/>
    <x:xf numFmtId="202" fontId="0" fillId="0" borderId="14" xfId="0" applyNumberFormat="1" applyFont="1" applyFill="1" applyBorder="1"/>
    <x:xf numFmtId="203" fontId="0" fillId="0" borderId="15" xfId="0" applyNumberFormat="1" applyFont="1" applyFill="1" applyBorder="1"/>
    <x:xf numFmtId="205" fontId="0" fillId="0" borderId="15" xfId="0" applyNumberFormat="1" applyFont="1" applyFill="1" applyBorder="1"/>
    <x:xf numFmtId="202" fontId="0" fillId="0" borderId="17" xfId="0" applyNumberFormat="1" applyFont="1" applyFill="1" applyBorder="1"/>
    <x:xf numFmtId="203" fontId="0" fillId="0" borderId="18" xfId="0" applyNumberFormat="1" applyFont="1" applyFill="1" applyBorder="1"/>
    <x:xf numFmtId="205" fontId="0" fillId="0" borderId="1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10ce48c9d405f" /><Relationship Type="http://schemas.openxmlformats.org/officeDocument/2006/relationships/theme" Target="/xl/theme/theme1.xml" Id="R8874326ad3764aa4" /><Relationship Type="http://schemas.openxmlformats.org/officeDocument/2006/relationships/sharedStrings" Target="/xl/sharedStrings.xml" Id="R51c21a912db64b12" /><Relationship Type="http://schemas.openxmlformats.org/officeDocument/2006/relationships/worksheet" Target="/xl/worksheets/sheet1.xml" Id="Rf5b0c760d42a40b3" /><Relationship Type="http://schemas.openxmlformats.org/officeDocument/2006/relationships/worksheet" Target="/xl/worksheets/sheet2.xml" Id="R605edf1d95d74365" /><Relationship Type="http://schemas.openxmlformats.org/officeDocument/2006/relationships/worksheet" Target="/xl/worksheets/sheet3.xml" Id="R8c2a3dc837164bce" /><Relationship Type="http://schemas.openxmlformats.org/officeDocument/2006/relationships/worksheet" Target="/xl/worksheets/sheet4.xml" Id="R5535456ab80f4426" /><Relationship Type="http://schemas.openxmlformats.org/officeDocument/2006/relationships/worksheet" Target="/xl/worksheets/sheet5.xml" Id="R9179e1247ba64c4a" /><Relationship Type="http://schemas.openxmlformats.org/officeDocument/2006/relationships/worksheet" Target="/xl/worksheets/sheet6.xml" Id="Rd93409b5f01144e5" /><Relationship Type="http://schemas.openxmlformats.org/officeDocument/2006/relationships/worksheet" Target="/xl/worksheets/sheet7.xml" Id="Raa3d6d737db9424c" /><Relationship Type="http://schemas.openxmlformats.org/officeDocument/2006/relationships/worksheet" Target="/xl/worksheets/sheet8.xml" Id="Rbfe0604272524b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3fbfdf8da942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Forecast vs Staffing Capacity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Forecast Cases</c:v>
          </c:tx>
          <c:cat>
            <c:strRef>
              <c:f>'SLA_Risk_Dashboard'!$F$5:$F$16</c:f>
              <c:strCache>
                <c:ptCount val="0"/>
              </c:strCache>
            </c:strRef>
          </c:cat>
          <c:val>
            <c:numRef>
              <c:f>'SLA_Risk_Dashboard'!$G$5:$G$16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Required FTE</c:v>
          </c:tx>
          <c:cat>
            <c:strRef>
              <c:f>'SLA_Risk_Dashboard'!$F$5:$F$16</c:f>
              <c:strCache>
                <c:ptCount val="0"/>
              </c:strCache>
            </c:strRef>
          </c:cat>
          <c:val>
            <c:numRef>
              <c:f>'SLA_Risk_Dashboard'!$H$5:$H$16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Current FTE</c:v>
          </c:tx>
          <c:cat>
            <c:strRef>
              <c:f>'SLA_Risk_Dashboard'!$F$5:$F$16</c:f>
              <c:strCache>
                <c:ptCount val="0"/>
              </c:strCache>
            </c:strRef>
          </c:cat>
          <c:val>
            <c:numRef>
              <c:f>'SLA_Risk_Dashboard'!$I$5:$I$16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Gap</c:v>
          </c:tx>
          <c:cat>
            <c:strRef>
              <c:f>'SLA_Risk_Dashboard'!$F$5:$F$16</c:f>
              <c:strCache>
                <c:ptCount val="0"/>
              </c:strCache>
            </c:strRef>
          </c:cat>
          <c:val>
            <c:numRef>
              <c:f>'SLA_Risk_Dashboard'!$J$5:$J$16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5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3fbfdf8da942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istoricalDemandTable" displayName="HistoricalDemandTable" ref="A4:J40" headerRowCount="1">
  <x:tableColumns count="10">
    <x:tableColumn id="1" name="Week"/>
    <x:tableColumn id="2" name="KYC Ops"/>
    <x:tableColumn id="3" name="Payments Ops"/>
    <x:tableColumn id="4" name="Support Ops"/>
    <x:tableColumn id="5" name="Risk Review"/>
    <x:tableColumn id="6" name="Finance Ops"/>
    <x:tableColumn id="7" name="Total Cases"/>
    <x:tableColumn id="8" name="Seasonality Index"/>
    <x:tableColumn id="9" name="Major Driver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orecastTable" displayName="ForecastTable" ref="A4:K16" headerRowCount="1">
  <x:tableColumns count="11">
    <x:tableColumn id="1" name="Forecast Week"/>
    <x:tableColumn id="2" name="Baseline MA"/>
    <x:tableColumn id="3" name="Seasonality"/>
    <x:tableColumn id="4" name="Base Forecast"/>
    <x:tableColumn id="5" name="Bull Forecast"/>
    <x:tableColumn id="6" name="Bear Forecast"/>
    <x:tableColumn id="7" name="Automation Adjusted Base"/>
    <x:tableColumn id="8" name="Automation Adjusted Bull"/>
    <x:tableColumn id="9" name="Automation Adjusted Bear"/>
    <x:tableColumn id="10" name="Forecast Confidence"/>
    <x:tableColumn id="11" name="Comment"/>
  </x:tableColumns>
  <x:tableStyleInfo name="TableStyleMedium2" showRowStripes="1"/>
</x:table>
</file>

<file path=xl/tables/table3.xml><?xml version="1.0" encoding="utf-8"?>
<x:table xmlns:x="http://schemas.openxmlformats.org/spreadsheetml/2006/main" id="3" name="CapacityPlanTable" displayName="CapacityPlanTable" ref="A4:L16" headerRowCount="1">
  <x:tableColumns count="12">
    <x:tableColumn id="1" name="Week"/>
    <x:tableColumn id="2" name="Scenario"/>
    <x:tableColumn id="3" name="Forecast Cases"/>
    <x:tableColumn id="4" name="AHT Minutes"/>
    <x:tableColumn id="5" name="Required Hours"/>
    <x:tableColumn id="6" name="Required FTE"/>
    <x:tableColumn id="7" name="Current FTE"/>
    <x:tableColumn id="8" name="FTE Gap/Surplus"/>
    <x:tableColumn id="9" name="Utilization"/>
    <x:tableColumn id="10" name="SLA Risk"/>
    <x:tableColumn id="11" name="Action"/>
    <x:tableColumn id="12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1b62da76fa747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b9ea9c486c944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7c3ca9498e743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5d540c920be4dc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5" t="str">
        <x:v>Demand Forecasting &amp; Capacity Planning Model for Operations Teams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3" t="str">
        <x:v>Portfolio project for Analytics &amp; Operations domain. No resume-bullet section included.</x:v>
      </x:c>
      <x:c r="B2" s="13"/>
      <x:c r="C2" s="13"/>
      <x:c r="D2" s="13"/>
      <x:c r="E2" s="13"/>
      <x:c r="F2" s="13"/>
      <x:c r="G2" s="13"/>
      <x:c r="H2" s="13"/>
    </x:row>
    <x:row r="4" ht="24" customHeight="1">
      <x:c r="A4" s="22" t="str">
        <x:v>Section</x:v>
      </x:c>
      <x:c r="B4" s="22" t="str">
        <x:v>Content</x:v>
      </x:c>
    </x:row>
    <x:row r="5">
      <x:c r="A5" s="31" t="str">
        <x:v>Business problem</x:v>
      </x:c>
      <x:c r="B5" s="28" t="str">
        <x:v>Operations leaders need to predict workload and translate demand forecasts into staffing requirements.
Poor planning creates SLA risk, backlog spikes, burnout or overstaffing.</x:v>
      </x:c>
    </x:row>
    <x:row r="6">
      <x:c r="A6" s="31" t="str">
        <x:v>Portfolio deliverables</x:v>
      </x:c>
      <x:c r="B6" s="28" t="str">
        <x:v>Historical weekly demand dataset with seasonality.
Formula-driven forecast using moving average and scenario multipliers.
Capacity plan by team with required FTE, current FTE and gap/surplus.
SLA risk dashboard and staffing action plan.</x:v>
      </x:c>
    </x:row>
    <x:row r="7">
      <x:c r="A7" s="31" t="str">
        <x:v>Target roles</x:v>
      </x:c>
      <x:c r="B7" s="28" t="str">
        <x:v>Operations Analyst
Business Analyst
Workforce Planning Analyst
Data Analyst
Product Operations Analyst</x:v>
      </x:c>
    </x:row>
    <x:row r="8">
      <x:c r="A8" s="31" t="str">
        <x:v>Data privacy</x:v>
      </x:c>
      <x:c r="B8" s="28" t="str">
        <x:v>All data is synthetic. No customer, employee, candidate, or transaction PII is used.</x:v>
      </x:c>
    </x:row>
    <x:row r="9">
      <x:c r="A9" s="31" t="str">
        <x:v>Source context</x:v>
      </x:c>
      <x:c r="B9" s="28" t="str">
        <x:v>Capacity planning should support short-term and long-term staffing decisions, scenario analysis and slicing by channel/queue.
Effective workforce planning balances workload, resource supply, utilization and real-time visibility.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48" hidden="0" customWidth="1"/>
    <x:col min="5" max="5" width="12" hidden="0" customWidth="1"/>
    <x:col min="6" max="6" width="36" hidden="0" customWidth="1"/>
  </x:cols>
  <x:sheetData>
    <x:row r="1" ht="28" customHeight="1">
      <x:c r="A1" s="5" t="str">
        <x:v>Planning Inputs</x:v>
      </x:c>
      <x:c r="B1" s="5"/>
      <x:c r="C1" s="5"/>
      <x:c r="D1" s="5"/>
      <x:c r="E1" s="5"/>
      <x:c r="F1" s="5"/>
    </x:row>
    <x:row r="2" ht="22" customHeight="1">
      <x:c r="A2" s="13" t="str">
        <x:v>Editable assumptions for forecast and capacity planning.</x:v>
      </x:c>
      <x:c r="B2" s="13"/>
      <x:c r="C2" s="13"/>
      <x:c r="D2" s="13"/>
      <x:c r="E2" s="13"/>
      <x:c r="F2" s="13"/>
    </x:row>
    <x:row r="4" ht="24" customHeight="1">
      <x:c r="A4" s="22" t="str">
        <x:v>Input</x:v>
      </x:c>
      <x:c r="B4" s="22" t="str">
        <x:v>Value</x:v>
      </x:c>
      <x:c r="C4" s="22" t="str">
        <x:v>Unit</x:v>
      </x:c>
      <x:c r="D4" s="22" t="str">
        <x:v>Description</x:v>
      </x:c>
      <x:c r="E4" s="22" t="str">
        <x:v>Editable?</x:v>
      </x:c>
      <x:c r="F4" s="22" t="str">
        <x:v>Notes</x:v>
      </x:c>
    </x:row>
    <x:row r="5">
      <x:c r="A5" s="52" t="str">
        <x:v>Average Handle Time</x:v>
      </x:c>
      <x:c r="B5" s="53" t="n">
        <x:v>18</x:v>
      </x:c>
      <x:c r="C5" s="53" t="str">
        <x:v>Minutes per case</x:v>
      </x:c>
      <x:c r="D5" s="53" t="str">
        <x:v>Average manual handling time</x:v>
      </x:c>
      <x:c r="E5" s="53" t="str">
        <x:v>Yes</x:v>
      </x:c>
      <x:c r="F5" s="54" t="str">
        <x:v>Synthetic baseline</x:v>
      </x:c>
    </x:row>
    <x:row r="6">
      <x:c r="A6" s="55" t="str">
        <x:v>Productive Hours / FTE / Week</x:v>
      </x:c>
      <x:c r="B6" s="56" t="n">
        <x:v>32</x:v>
      </x:c>
      <x:c r="C6" s="56" t="str">
        <x:v>Hours</x:v>
      </x:c>
      <x:c r="D6" s="56" t="str">
        <x:v>Net productive hours after breaks/meetings</x:v>
      </x:c>
      <x:c r="E6" s="56" t="str">
        <x:v>Yes</x:v>
      </x:c>
      <x:c r="F6" s="57" t="str">
        <x:v>Used for capacity</x:v>
      </x:c>
    </x:row>
    <x:row r="7">
      <x:c r="A7" s="55" t="str">
        <x:v>Target Utilization</x:v>
      </x:c>
      <x:c r="B7" s="88" t="n">
        <x:v>0.78</x:v>
      </x:c>
      <x:c r="C7" s="56" t="str">
        <x:v>%</x:v>
      </x:c>
      <x:c r="D7" s="56" t="str">
        <x:v>Desired steady-state utilization</x:v>
      </x:c>
      <x:c r="E7" s="56" t="str">
        <x:v>Yes</x:v>
      </x:c>
      <x:c r="F7" s="57" t="str">
        <x:v>Avoids burnout and idle time</x:v>
      </x:c>
    </x:row>
    <x:row r="8">
      <x:c r="A8" s="55" t="str">
        <x:v>Target SLA</x:v>
      </x:c>
      <x:c r="B8" s="88" t="n">
        <x:v>0.9</x:v>
      </x:c>
      <x:c r="C8" s="56" t="str">
        <x:v>%</x:v>
      </x:c>
      <x:c r="D8" s="56" t="str">
        <x:v>Minimum SLA adherence</x:v>
      </x:c>
      <x:c r="E8" s="56" t="str">
        <x:v>Yes</x:v>
      </x:c>
      <x:c r="F8" s="57" t="str">
        <x:v>Used for risk flag</x:v>
      </x:c>
    </x:row>
    <x:row r="9">
      <x:c r="A9" s="55" t="str">
        <x:v>Base Scenario Multiplier</x:v>
      </x:c>
      <x:c r="B9" s="90" t="n">
        <x:v>1</x:v>
      </x:c>
      <x:c r="C9" s="56" t="str">
        <x:v>x</x:v>
      </x:c>
      <x:c r="D9" s="56" t="str">
        <x:v>Base demand scenario</x:v>
      </x:c>
      <x:c r="E9" s="56" t="str">
        <x:v>Yes</x:v>
      </x:c>
      <x:c r="F9" s="57" t="str">
        <x:v>Change for stress testing</x:v>
      </x:c>
    </x:row>
    <x:row r="10">
      <x:c r="A10" s="55" t="str">
        <x:v>Bull Scenario Multiplier</x:v>
      </x:c>
      <x:c r="B10" s="90" t="n">
        <x:v>1.15</x:v>
      </x:c>
      <x:c r="C10" s="56" t="str">
        <x:v>x</x:v>
      </x:c>
      <x:c r="D10" s="56" t="str">
        <x:v>High-demand scenario</x:v>
      </x:c>
      <x:c r="E10" s="56" t="str">
        <x:v>Yes</x:v>
      </x:c>
      <x:c r="F10" s="57" t="str">
        <x:v>Growth spike</x:v>
      </x:c>
    </x:row>
    <x:row r="11">
      <x:c r="A11" s="55" t="str">
        <x:v>Bear Scenario Multiplier</x:v>
      </x:c>
      <x:c r="B11" s="90" t="n">
        <x:v>0.9</x:v>
      </x:c>
      <x:c r="C11" s="56" t="str">
        <x:v>x</x:v>
      </x:c>
      <x:c r="D11" s="56" t="str">
        <x:v>Low-demand scenario</x:v>
      </x:c>
      <x:c r="E11" s="56" t="str">
        <x:v>Yes</x:v>
      </x:c>
      <x:c r="F11" s="57" t="str">
        <x:v>Demand slowdown</x:v>
      </x:c>
    </x:row>
    <x:row r="12">
      <x:c r="A12" s="58" t="str">
        <x:v>Automation Impact</x:v>
      </x:c>
      <x:c r="B12" s="92" t="n">
        <x:v>0.12</x:v>
      </x:c>
      <x:c r="C12" s="59" t="str">
        <x:v>%</x:v>
      </x:c>
      <x:c r="D12" s="59" t="str">
        <x:v>Expected case volume deflection</x:v>
      </x:c>
      <x:c r="E12" s="59" t="str">
        <x:v>Yes</x:v>
      </x:c>
      <x:c r="F12" s="60" t="str">
        <x:v>Automation reduces manual workload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20" hidden="0" customWidth="1"/>
  </x:cols>
  <x:sheetData>
    <x:row r="1" ht="28" customHeight="1">
      <x:c r="A1" s="5" t="str">
        <x:v>Historical Weekly Demand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3" t="str">
        <x:v>Synthetic case volume by queue with seasonality and operational load.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24" customHeight="1">
      <x:c r="A4" s="22" t="str">
        <x:v>Week</x:v>
      </x:c>
      <x:c r="B4" s="22" t="str">
        <x:v>KYC Ops</x:v>
      </x:c>
      <x:c r="C4" s="22" t="str">
        <x:v>Payments Ops</x:v>
      </x:c>
      <x:c r="D4" s="22" t="str">
        <x:v>Support Ops</x:v>
      </x:c>
      <x:c r="E4" s="22" t="str">
        <x:v>Risk Review</x:v>
      </x:c>
      <x:c r="F4" s="22" t="str">
        <x:v>Finance Ops</x:v>
      </x:c>
      <x:c r="G4" s="22" t="str">
        <x:v>Total Cases</x:v>
      </x:c>
      <x:c r="H4" s="22" t="str">
        <x:v>Seasonality Index</x:v>
      </x:c>
      <x:c r="I4" s="22" t="str">
        <x:v>Major Driver</x:v>
      </x:c>
      <x:c r="J4" s="22" t="str">
        <x:v>Notes</x:v>
      </x:c>
    </x:row>
    <x:row r="5">
      <x:c r="A5" s="94" t="n">
        <x:v>45901</x:v>
      </x:c>
      <x:c r="B5" s="96" t="n">
        <x:v>2060</x:v>
      </x:c>
      <x:c r="C5" s="96" t="n">
        <x:v>1556</x:v>
      </x:c>
      <x:c r="D5" s="96" t="n">
        <x:v>3101</x:v>
      </x:c>
      <x:c r="E5" s="96" t="n">
        <x:v>975</x:v>
      </x:c>
      <x:c r="F5" s="96" t="n">
        <x:v>785</x:v>
      </x:c>
      <x:c r="G5" s="96" t="n">
        <x:v>8477</x:v>
      </x:c>
      <x:c r="H5" s="98" t="n">
        <x:v>1</x:v>
      </x:c>
      <x:c r="I5" t="str">
        <x:v>Normal</x:v>
      </x:c>
      <x:c r="J5" t="str">
        <x:v>Synthetic</x:v>
      </x:c>
    </x:row>
    <x:row r="6">
      <x:c r="A6" s="94" t="n">
        <x:v>45908</x:v>
      </x:c>
      <x:c r="B6" s="96" t="n">
        <x:v>2228</x:v>
      </x:c>
      <x:c r="C6" s="96" t="n">
        <x:v>1583</x:v>
      </x:c>
      <x:c r="D6" s="96" t="n">
        <x:v>2918</x:v>
      </x:c>
      <x:c r="E6" s="96" t="n">
        <x:v>906</x:v>
      </x:c>
      <x:c r="F6" s="96" t="n">
        <x:v>748</x:v>
      </x:c>
      <x:c r="G6" s="96" t="n">
        <x:v>8383</x:v>
      </x:c>
      <x:c r="H6" s="98" t="n">
        <x:v>1.03</x:v>
      </x:c>
      <x:c r="I6" t="str">
        <x:v>Normal</x:v>
      </x:c>
      <x:c r="J6" t="str">
        <x:v>Synthetic</x:v>
      </x:c>
    </x:row>
    <x:row r="7">
      <x:c r="A7" s="94" t="n">
        <x:v>45915</x:v>
      </x:c>
      <x:c r="B7" s="96" t="n">
        <x:v>2132</x:v>
      </x:c>
      <x:c r="C7" s="96" t="n">
        <x:v>1596</x:v>
      </x:c>
      <x:c r="D7" s="96" t="n">
        <x:v>2945</x:v>
      </x:c>
      <x:c r="E7" s="96" t="n">
        <x:v>978</x:v>
      </x:c>
      <x:c r="F7" s="96" t="n">
        <x:v>850</x:v>
      </x:c>
      <x:c r="G7" s="96" t="n">
        <x:v>8501</x:v>
      </x:c>
      <x:c r="H7" s="98" t="n">
        <x:v>1.06</x:v>
      </x:c>
      <x:c r="I7" t="str">
        <x:v>Normal</x:v>
      </x:c>
      <x:c r="J7" t="str">
        <x:v>Synthetic</x:v>
      </x:c>
    </x:row>
    <x:row r="8">
      <x:c r="A8" s="94" t="n">
        <x:v>45922</x:v>
      </x:c>
      <x:c r="B8" s="96" t="n">
        <x:v>2355</x:v>
      </x:c>
      <x:c r="C8" s="96" t="n">
        <x:v>1642</x:v>
      </x:c>
      <x:c r="D8" s="96" t="n">
        <x:v>2882</x:v>
      </x:c>
      <x:c r="E8" s="96" t="n">
        <x:v>1020</x:v>
      </x:c>
      <x:c r="F8" s="96" t="n">
        <x:v>860</x:v>
      </x:c>
      <x:c r="G8" s="96" t="n">
        <x:v>8759</x:v>
      </x:c>
      <x:c r="H8" s="98" t="n">
        <x:v>1.08</x:v>
      </x:c>
      <x:c r="I8" t="str">
        <x:v>Normal</x:v>
      </x:c>
      <x:c r="J8" t="str">
        <x:v>Synthetic</x:v>
      </x:c>
    </x:row>
    <x:row r="9">
      <x:c r="A9" s="94" t="n">
        <x:v>45929</x:v>
      </x:c>
      <x:c r="B9" s="96" t="n">
        <x:v>2436</x:v>
      </x:c>
      <x:c r="C9" s="96" t="n">
        <x:v>1649</x:v>
      </x:c>
      <x:c r="D9" s="96" t="n">
        <x:v>3349</x:v>
      </x:c>
      <x:c r="E9" s="96" t="n">
        <x:v>1057</x:v>
      </x:c>
      <x:c r="F9" s="96" t="n">
        <x:v>783</x:v>
      </x:c>
      <x:c r="G9" s="96" t="n">
        <x:v>9274</x:v>
      </x:c>
      <x:c r="H9" s="98" t="n">
        <x:v>1.1</x:v>
      </x:c>
      <x:c r="I9" t="str">
        <x:v>Normal</x:v>
      </x:c>
      <x:c r="J9" t="str">
        <x:v>Synthetic</x:v>
      </x:c>
    </x:row>
    <x:row r="10">
      <x:c r="A10" s="94" t="n">
        <x:v>45936</x:v>
      </x:c>
      <x:c r="B10" s="96" t="n">
        <x:v>2262</x:v>
      </x:c>
      <x:c r="C10" s="96" t="n">
        <x:v>1811</x:v>
      </x:c>
      <x:c r="D10" s="96" t="n">
        <x:v>3297</x:v>
      </x:c>
      <x:c r="E10" s="96" t="n">
        <x:v>922</x:v>
      </x:c>
      <x:c r="F10" s="96" t="n">
        <x:v>888</x:v>
      </x:c>
      <x:c r="G10" s="96" t="n">
        <x:v>9180</x:v>
      </x:c>
      <x:c r="H10" s="98" t="n">
        <x:v>1.11</x:v>
      </x:c>
      <x:c r="I10" t="str">
        <x:v>Normal</x:v>
      </x:c>
      <x:c r="J10" t="str">
        <x:v>Synthetic</x:v>
      </x:c>
    </x:row>
    <x:row r="11">
      <x:c r="A11" s="94" t="n">
        <x:v>45943</x:v>
      </x:c>
      <x:c r="B11" s="96" t="n">
        <x:v>2381</x:v>
      </x:c>
      <x:c r="C11" s="96" t="n">
        <x:v>1794</x:v>
      </x:c>
      <x:c r="D11" s="96" t="n">
        <x:v>3301</x:v>
      </x:c>
      <x:c r="E11" s="96" t="n">
        <x:v>974</x:v>
      </x:c>
      <x:c r="F11" s="96" t="n">
        <x:v>757</x:v>
      </x:c>
      <x:c r="G11" s="96" t="n">
        <x:v>9207</x:v>
      </x:c>
      <x:c r="H11" s="98" t="n">
        <x:v>1.12</x:v>
      </x:c>
      <x:c r="I11" t="str">
        <x:v>Normal</x:v>
      </x:c>
      <x:c r="J11" t="str">
        <x:v>Synthetic</x:v>
      </x:c>
    </x:row>
    <x:row r="12">
      <x:c r="A12" s="94" t="n">
        <x:v>45950</x:v>
      </x:c>
      <x:c r="B12" s="96" t="n">
        <x:v>2465</x:v>
      </x:c>
      <x:c r="C12" s="96" t="n">
        <x:v>1852</x:v>
      </x:c>
      <x:c r="D12" s="96" t="n">
        <x:v>2939</x:v>
      </x:c>
      <x:c r="E12" s="96" t="n">
        <x:v>1060</x:v>
      </x:c>
      <x:c r="F12" s="96" t="n">
        <x:v>874</x:v>
      </x:c>
      <x:c r="G12" s="96" t="n">
        <x:v>9190</x:v>
      </x:c>
      <x:c r="H12" s="98" t="n">
        <x:v>1.12</x:v>
      </x:c>
      <x:c r="I12" t="str">
        <x:v>Normal</x:v>
      </x:c>
      <x:c r="J12" t="str">
        <x:v>Synthetic</x:v>
      </x:c>
    </x:row>
    <x:row r="13">
      <x:c r="A13" s="94" t="n">
        <x:v>45957</x:v>
      </x:c>
      <x:c r="B13" s="96" t="n">
        <x:v>2438</x:v>
      </x:c>
      <x:c r="C13" s="96" t="n">
        <x:v>1913</x:v>
      </x:c>
      <x:c r="D13" s="96" t="n">
        <x:v>3412</x:v>
      </x:c>
      <x:c r="E13" s="96" t="n">
        <x:v>923</x:v>
      </x:c>
      <x:c r="F13" s="96" t="n">
        <x:v>827</x:v>
      </x:c>
      <x:c r="G13" s="96" t="n">
        <x:v>9513</x:v>
      </x:c>
      <x:c r="H13" s="98" t="n">
        <x:v>1.11</x:v>
      </x:c>
      <x:c r="I13" t="str">
        <x:v>Normal</x:v>
      </x:c>
      <x:c r="J13" t="str">
        <x:v>Synthetic</x:v>
      </x:c>
    </x:row>
    <x:row r="14">
      <x:c r="A14" s="94" t="n">
        <x:v>45964</x:v>
      </x:c>
      <x:c r="B14" s="96" t="n">
        <x:v>2386</x:v>
      </x:c>
      <x:c r="C14" s="96" t="n">
        <x:v>1651</x:v>
      </x:c>
      <x:c r="D14" s="96" t="n">
        <x:v>3197</x:v>
      </x:c>
      <x:c r="E14" s="96" t="n">
        <x:v>999</x:v>
      </x:c>
      <x:c r="F14" s="96" t="n">
        <x:v>781</x:v>
      </x:c>
      <x:c r="G14" s="96" t="n">
        <x:v>9014</x:v>
      </x:c>
      <x:c r="H14" s="98" t="n">
        <x:v>1.09</x:v>
      </x:c>
      <x:c r="I14" t="str">
        <x:v>Normal</x:v>
      </x:c>
      <x:c r="J14" t="str">
        <x:v>Synthetic</x:v>
      </x:c>
    </x:row>
    <x:row r="15">
      <x:c r="A15" s="94" t="n">
        <x:v>45971</x:v>
      </x:c>
      <x:c r="B15" s="96" t="n">
        <x:v>2108</x:v>
      </x:c>
      <x:c r="C15" s="96" t="n">
        <x:v>1776</x:v>
      </x:c>
      <x:c r="D15" s="96" t="n">
        <x:v>2810</x:v>
      </x:c>
      <x:c r="E15" s="96" t="n">
        <x:v>972</x:v>
      </x:c>
      <x:c r="F15" s="96" t="n">
        <x:v>762</x:v>
      </x:c>
      <x:c r="G15" s="96" t="n">
        <x:v>8428</x:v>
      </x:c>
      <x:c r="H15" s="98" t="n">
        <x:v>1.07</x:v>
      </x:c>
      <x:c r="I15" t="str">
        <x:v>Normal</x:v>
      </x:c>
      <x:c r="J15" t="str">
        <x:v>Synthetic</x:v>
      </x:c>
    </x:row>
    <x:row r="16">
      <x:c r="A16" s="94" t="n">
        <x:v>45978</x:v>
      </x:c>
      <x:c r="B16" s="96" t="n">
        <x:v>2367</x:v>
      </x:c>
      <x:c r="C16" s="96" t="n">
        <x:v>1606</x:v>
      </x:c>
      <x:c r="D16" s="96" t="n">
        <x:v>3008</x:v>
      </x:c>
      <x:c r="E16" s="96" t="n">
        <x:v>895</x:v>
      </x:c>
      <x:c r="F16" s="96" t="n">
        <x:v>693</x:v>
      </x:c>
      <x:c r="G16" s="96" t="n">
        <x:v>8569</x:v>
      </x:c>
      <x:c r="H16" s="98" t="n">
        <x:v>1.05</x:v>
      </x:c>
      <x:c r="I16" t="str">
        <x:v>Normal</x:v>
      </x:c>
      <x:c r="J16" t="str">
        <x:v>Synthetic</x:v>
      </x:c>
    </x:row>
    <x:row r="17">
      <x:c r="A17" s="94" t="n">
        <x:v>45985</x:v>
      </x:c>
      <x:c r="B17" s="96" t="n">
        <x:v>2480</x:v>
      </x:c>
      <x:c r="C17" s="96" t="n">
        <x:v>1920</x:v>
      </x:c>
      <x:c r="D17" s="96" t="n">
        <x:v>3186</x:v>
      </x:c>
      <x:c r="E17" s="96" t="n">
        <x:v>1145</x:v>
      </x:c>
      <x:c r="F17" s="96" t="n">
        <x:v>888</x:v>
      </x:c>
      <x:c r="G17" s="96" t="n">
        <x:v>9619</x:v>
      </x:c>
      <x:c r="H17" s="98" t="n">
        <x:v>1.17</x:v>
      </x:c>
      <x:c r="I17" t="str">
        <x:v>Campaign spike</x:v>
      </x:c>
      <x:c r="J17" t="str">
        <x:v>Synthetic</x:v>
      </x:c>
    </x:row>
    <x:row r="18">
      <x:c r="A18" s="94" t="n">
        <x:v>45992</x:v>
      </x:c>
      <x:c r="B18" s="96" t="n">
        <x:v>2482</x:v>
      </x:c>
      <x:c r="C18" s="96" t="n">
        <x:v>1792</x:v>
      </x:c>
      <x:c r="D18" s="96" t="n">
        <x:v>3061</x:v>
      </x:c>
      <x:c r="E18" s="96" t="n">
        <x:v>959</x:v>
      </x:c>
      <x:c r="F18" s="96" t="n">
        <x:v>865</x:v>
      </x:c>
      <x:c r="G18" s="96" t="n">
        <x:v>9159</x:v>
      </x:c>
      <x:c r="H18" s="98" t="n">
        <x:v>1.14</x:v>
      </x:c>
      <x:c r="I18" t="str">
        <x:v>Campaign spike</x:v>
      </x:c>
      <x:c r="J18" t="str">
        <x:v>Synthetic</x:v>
      </x:c>
    </x:row>
    <x:row r="19">
      <x:c r="A19" s="94" t="n">
        <x:v>45999</x:v>
      </x:c>
      <x:c r="B19" s="96" t="n">
        <x:v>2194</x:v>
      </x:c>
      <x:c r="C19" s="96" t="n">
        <x:v>1802</x:v>
      </x:c>
      <x:c r="D19" s="96" t="n">
        <x:v>3048</x:v>
      </x:c>
      <x:c r="E19" s="96" t="n">
        <x:v>928</x:v>
      </x:c>
      <x:c r="F19" s="96" t="n">
        <x:v>778</x:v>
      </x:c>
      <x:c r="G19" s="96" t="n">
        <x:v>8750</x:v>
      </x:c>
      <x:c r="H19" s="98" t="n">
        <x:v>1.11</x:v>
      </x:c>
      <x:c r="I19" t="str">
        <x:v>Campaign spike</x:v>
      </x:c>
      <x:c r="J19" t="str">
        <x:v>Synthetic</x:v>
      </x:c>
    </x:row>
    <x:row r="20">
      <x:c r="A20" s="94" t="n">
        <x:v>46006</x:v>
      </x:c>
      <x:c r="B20" s="96" t="n">
        <x:v>1826</x:v>
      </x:c>
      <x:c r="C20" s="96" t="n">
        <x:v>1531</x:v>
      </x:c>
      <x:c r="D20" s="96" t="n">
        <x:v>2664</x:v>
      </x:c>
      <x:c r="E20" s="96" t="n">
        <x:v>889</x:v>
      </x:c>
      <x:c r="F20" s="96" t="n">
        <x:v>701</x:v>
      </x:c>
      <x:c r="G20" s="96" t="n">
        <x:v>7611</x:v>
      </x:c>
      <x:c r="H20" s="98" t="n">
        <x:v>0.93</x:v>
      </x:c>
      <x:c r="I20" t="str">
        <x:v>Normal</x:v>
      </x:c>
      <x:c r="J20" t="str">
        <x:v>Synthetic</x:v>
      </x:c>
    </x:row>
    <x:row r="21">
      <x:c r="A21" s="94" t="n">
        <x:v>46013</x:v>
      </x:c>
      <x:c r="B21" s="96" t="n">
        <x:v>2037</x:v>
      </x:c>
      <x:c r="C21" s="96" t="n">
        <x:v>1576</x:v>
      </x:c>
      <x:c r="D21" s="96" t="n">
        <x:v>2544</x:v>
      </x:c>
      <x:c r="E21" s="96" t="n">
        <x:v>747</x:v>
      </x:c>
      <x:c r="F21" s="96" t="n">
        <x:v>632</x:v>
      </x:c>
      <x:c r="G21" s="96" t="n">
        <x:v>7536</x:v>
      </x:c>
      <x:c r="H21" s="98" t="n">
        <x:v>0.91</x:v>
      </x:c>
      <x:c r="I21" t="str">
        <x:v>Normal</x:v>
      </x:c>
      <x:c r="J21" t="str">
        <x:v>Synthetic</x:v>
      </x:c>
    </x:row>
    <x:row r="22">
      <x:c r="A22" s="94" t="n">
        <x:v>46020</x:v>
      </x:c>
      <x:c r="B22" s="96" t="n">
        <x:v>1870</x:v>
      </x:c>
      <x:c r="C22" s="96" t="n">
        <x:v>1490</x:v>
      </x:c>
      <x:c r="D22" s="96" t="n">
        <x:v>2287</x:v>
      </x:c>
      <x:c r="E22" s="96" t="n">
        <x:v>890</x:v>
      </x:c>
      <x:c r="F22" s="96" t="n">
        <x:v>656</x:v>
      </x:c>
      <x:c r="G22" s="96" t="n">
        <x:v>7193</x:v>
      </x:c>
      <x:c r="H22" s="98" t="n">
        <x:v>0.89</x:v>
      </x:c>
      <x:c r="I22" t="str">
        <x:v>Normal</x:v>
      </x:c>
      <x:c r="J22" t="str">
        <x:v>Synthetic</x:v>
      </x:c>
    </x:row>
    <x:row r="23">
      <x:c r="A23" s="94" t="n">
        <x:v>46027</x:v>
      </x:c>
      <x:c r="B23" s="96" t="n">
        <x:v>1842</x:v>
      </x:c>
      <x:c r="C23" s="96" t="n">
        <x:v>1355</x:v>
      </x:c>
      <x:c r="D23" s="96" t="n">
        <x:v>2587</x:v>
      </x:c>
      <x:c r="E23" s="96" t="n">
        <x:v>825</x:v>
      </x:c>
      <x:c r="F23" s="96" t="n">
        <x:v>667</x:v>
      </x:c>
      <x:c r="G23" s="96" t="n">
        <x:v>7276</x:v>
      </x:c>
      <x:c r="H23" s="98" t="n">
        <x:v>0.88</x:v>
      </x:c>
      <x:c r="I23" t="str">
        <x:v>Normal</x:v>
      </x:c>
      <x:c r="J23" t="str">
        <x:v>Synthetic</x:v>
      </x:c>
    </x:row>
    <x:row r="24">
      <x:c r="A24" s="94" t="n">
        <x:v>46034</x:v>
      </x:c>
      <x:c r="B24" s="96" t="n">
        <x:v>1923</x:v>
      </x:c>
      <x:c r="C24" s="96" t="n">
        <x:v>1485</x:v>
      </x:c>
      <x:c r="D24" s="96" t="n">
        <x:v>2551</x:v>
      </x:c>
      <x:c r="E24" s="96" t="n">
        <x:v>759</x:v>
      </x:c>
      <x:c r="F24" s="96" t="n">
        <x:v>690</x:v>
      </x:c>
      <x:c r="G24" s="96" t="n">
        <x:v>7408</x:v>
      </x:c>
      <x:c r="H24" s="98" t="n">
        <x:v>0.88</x:v>
      </x:c>
      <x:c r="I24" t="str">
        <x:v>Normal</x:v>
      </x:c>
      <x:c r="J24" t="str">
        <x:v>Synthetic</x:v>
      </x:c>
    </x:row>
    <x:row r="25">
      <x:c r="A25" s="94" t="n">
        <x:v>46041</x:v>
      </x:c>
      <x:c r="B25" s="96" t="n">
        <x:v>1962</x:v>
      </x:c>
      <x:c r="C25" s="96" t="n">
        <x:v>1483</x:v>
      </x:c>
      <x:c r="D25" s="96" t="n">
        <x:v>2748</x:v>
      </x:c>
      <x:c r="E25" s="96" t="n">
        <x:v>784</x:v>
      </x:c>
      <x:c r="F25" s="96" t="n">
        <x:v>588</x:v>
      </x:c>
      <x:c r="G25" s="96" t="n">
        <x:v>7565</x:v>
      </x:c>
      <x:c r="H25" s="98" t="n">
        <x:v>0.88</x:v>
      </x:c>
      <x:c r="I25" t="str">
        <x:v>Normal</x:v>
      </x:c>
      <x:c r="J25" t="str">
        <x:v>Synthetic</x:v>
      </x:c>
    </x:row>
    <x:row r="26">
      <x:c r="A26" s="94" t="n">
        <x:v>46048</x:v>
      </x:c>
      <x:c r="B26" s="96" t="n">
        <x:v>1950</x:v>
      </x:c>
      <x:c r="C26" s="96" t="n">
        <x:v>1355</x:v>
      </x:c>
      <x:c r="D26" s="96" t="n">
        <x:v>2691</x:v>
      </x:c>
      <x:c r="E26" s="96" t="n">
        <x:v>881</x:v>
      </x:c>
      <x:c r="F26" s="96" t="n">
        <x:v>621</x:v>
      </x:c>
      <x:c r="G26" s="96" t="n">
        <x:v>7498</x:v>
      </x:c>
      <x:c r="H26" s="98" t="n">
        <x:v>0.9</x:v>
      </x:c>
      <x:c r="I26" t="str">
        <x:v>Normal</x:v>
      </x:c>
      <x:c r="J26" t="str">
        <x:v>Synthetic</x:v>
      </x:c>
    </x:row>
    <x:row r="27">
      <x:c r="A27" s="94" t="n">
        <x:v>46055</x:v>
      </x:c>
      <x:c r="B27" s="96" t="n">
        <x:v>2051</x:v>
      </x:c>
      <x:c r="C27" s="96" t="n">
        <x:v>1494</x:v>
      </x:c>
      <x:c r="D27" s="96" t="n">
        <x:v>2630</x:v>
      </x:c>
      <x:c r="E27" s="96" t="n">
        <x:v>769</x:v>
      </x:c>
      <x:c r="F27" s="96" t="n">
        <x:v>609</x:v>
      </x:c>
      <x:c r="G27" s="96" t="n">
        <x:v>7553</x:v>
      </x:c>
      <x:c r="H27" s="98" t="n">
        <x:v>0.92</x:v>
      </x:c>
      <x:c r="I27" t="str">
        <x:v>Normal</x:v>
      </x:c>
      <x:c r="J27" t="str">
        <x:v>Synthetic</x:v>
      </x:c>
    </x:row>
    <x:row r="28">
      <x:c r="A28" s="94" t="n">
        <x:v>46062</x:v>
      </x:c>
      <x:c r="B28" s="96" t="n">
        <x:v>1988</x:v>
      </x:c>
      <x:c r="C28" s="96" t="n">
        <x:v>1533</x:v>
      </x:c>
      <x:c r="D28" s="96" t="n">
        <x:v>2682</x:v>
      </x:c>
      <x:c r="E28" s="96" t="n">
        <x:v>879</x:v>
      </x:c>
      <x:c r="F28" s="96" t="n">
        <x:v>760</x:v>
      </x:c>
      <x:c r="G28" s="96" t="n">
        <x:v>7842</x:v>
      </x:c>
      <x:c r="H28" s="98" t="n">
        <x:v>0.94</x:v>
      </x:c>
      <x:c r="I28" t="str">
        <x:v>Normal</x:v>
      </x:c>
      <x:c r="J28" t="str">
        <x:v>Synthetic</x:v>
      </x:c>
    </x:row>
    <x:row r="29">
      <x:c r="A29" s="94" t="n">
        <x:v>46069</x:v>
      </x:c>
      <x:c r="B29" s="96" t="n">
        <x:v>2097</x:v>
      </x:c>
      <x:c r="C29" s="96" t="n">
        <x:v>1511</x:v>
      </x:c>
      <x:c r="D29" s="96" t="n">
        <x:v>2900</x:v>
      </x:c>
      <x:c r="E29" s="96" t="n">
        <x:v>878</x:v>
      </x:c>
      <x:c r="F29" s="96" t="n">
        <x:v>739</x:v>
      </x:c>
      <x:c r="G29" s="96" t="n">
        <x:v>8125</x:v>
      </x:c>
      <x:c r="H29" s="98" t="n">
        <x:v>0.97</x:v>
      </x:c>
      <x:c r="I29" t="str">
        <x:v>Normal</x:v>
      </x:c>
      <x:c r="J29" t="str">
        <x:v>Synthetic</x:v>
      </x:c>
    </x:row>
    <x:row r="30">
      <x:c r="A30" s="94" t="n">
        <x:v>46076</x:v>
      </x:c>
      <x:c r="B30" s="96" t="n">
        <x:v>1962</x:v>
      </x:c>
      <x:c r="C30" s="96" t="n">
        <x:v>1653</x:v>
      </x:c>
      <x:c r="D30" s="96" t="n">
        <x:v>2973</x:v>
      </x:c>
      <x:c r="E30" s="96" t="n">
        <x:v>886</x:v>
      </x:c>
      <x:c r="F30" s="96" t="n">
        <x:v>661</x:v>
      </x:c>
      <x:c r="G30" s="96" t="n">
        <x:v>8135</x:v>
      </x:c>
      <x:c r="H30" s="98" t="n">
        <x:v>1</x:v>
      </x:c>
      <x:c r="I30" t="str">
        <x:v>Normal</x:v>
      </x:c>
      <x:c r="J30" t="str">
        <x:v>Synthetic</x:v>
      </x:c>
    </x:row>
    <x:row r="31">
      <x:c r="A31" s="94" t="n">
        <x:v>46083</x:v>
      </x:c>
      <x:c r="B31" s="96" t="n">
        <x:v>2042</x:v>
      </x:c>
      <x:c r="C31" s="96" t="n">
        <x:v>1728</x:v>
      </x:c>
      <x:c r="D31" s="96" t="n">
        <x:v>2984</x:v>
      </x:c>
      <x:c r="E31" s="96" t="n">
        <x:v>974</x:v>
      </x:c>
      <x:c r="F31" s="96" t="n">
        <x:v>708</x:v>
      </x:c>
      <x:c r="G31" s="96" t="n">
        <x:v>8436</x:v>
      </x:c>
      <x:c r="H31" s="98" t="n">
        <x:v>1.03</x:v>
      </x:c>
      <x:c r="I31" t="str">
        <x:v>Normal</x:v>
      </x:c>
      <x:c r="J31" t="str">
        <x:v>Synthetic</x:v>
      </x:c>
    </x:row>
    <x:row r="32">
      <x:c r="A32" s="94" t="n">
        <x:v>46090</x:v>
      </x:c>
      <x:c r="B32" s="96" t="n">
        <x:v>2078</x:v>
      </x:c>
      <x:c r="C32" s="96" t="n">
        <x:v>1639</x:v>
      </x:c>
      <x:c r="D32" s="96" t="n">
        <x:v>3139</x:v>
      </x:c>
      <x:c r="E32" s="96" t="n">
        <x:v>876</x:v>
      </x:c>
      <x:c r="F32" s="96" t="n">
        <x:v>720</x:v>
      </x:c>
      <x:c r="G32" s="96" t="n">
        <x:v>8452</x:v>
      </x:c>
      <x:c r="H32" s="98" t="n">
        <x:v>1.05</x:v>
      </x:c>
      <x:c r="I32" t="str">
        <x:v>Normal</x:v>
      </x:c>
      <x:c r="J32" t="str">
        <x:v>Synthetic</x:v>
      </x:c>
    </x:row>
    <x:row r="33">
      <x:c r="A33" s="94" t="n">
        <x:v>46097</x:v>
      </x:c>
      <x:c r="B33" s="96" t="n">
        <x:v>2464</x:v>
      </x:c>
      <x:c r="C33" s="96" t="n">
        <x:v>1966</x:v>
      </x:c>
      <x:c r="D33" s="96" t="n">
        <x:v>3555</x:v>
      </x:c>
      <x:c r="E33" s="96" t="n">
        <x:v>1117</x:v>
      </x:c>
      <x:c r="F33" s="96" t="n">
        <x:v>912</x:v>
      </x:c>
      <x:c r="G33" s="96" t="n">
        <x:v>10014</x:v>
      </x:c>
      <x:c r="H33" s="98" t="n">
        <x:v>1.23</x:v>
      </x:c>
      <x:c r="I33" t="str">
        <x:v>Quarter close</x:v>
      </x:c>
      <x:c r="J33" t="str">
        <x:v>Synthetic</x:v>
      </x:c>
    </x:row>
    <x:row r="34">
      <x:c r="A34" s="94" t="n">
        <x:v>46104</x:v>
      </x:c>
      <x:c r="B34" s="96" t="n">
        <x:v>2762</x:v>
      </x:c>
      <x:c r="C34" s="96" t="n">
        <x:v>1894</x:v>
      </x:c>
      <x:c r="D34" s="96" t="n">
        <x:v>3393</x:v>
      </x:c>
      <x:c r="E34" s="96" t="n">
        <x:v>1216</x:v>
      </x:c>
      <x:c r="F34" s="96" t="n">
        <x:v>944</x:v>
      </x:c>
      <x:c r="G34" s="96" t="n">
        <x:v>10209</x:v>
      </x:c>
      <x:c r="H34" s="98" t="n">
        <x:v>1.25</x:v>
      </x:c>
      <x:c r="I34" t="str">
        <x:v>Quarter close</x:v>
      </x:c>
      <x:c r="J34" t="str">
        <x:v>Synthetic</x:v>
      </x:c>
    </x:row>
    <x:row r="35">
      <x:c r="A35" s="94" t="n">
        <x:v>46111</x:v>
      </x:c>
      <x:c r="B35" s="96" t="n">
        <x:v>2375</x:v>
      </x:c>
      <x:c r="C35" s="96" t="n">
        <x:v>1850</x:v>
      </x:c>
      <x:c r="D35" s="96" t="n">
        <x:v>3309</x:v>
      </x:c>
      <x:c r="E35" s="96" t="n">
        <x:v>940</x:v>
      </x:c>
      <x:c r="F35" s="96" t="n">
        <x:v>877</x:v>
      </x:c>
      <x:c r="G35" s="96" t="n">
        <x:v>9351</x:v>
      </x:c>
      <x:c r="H35" s="98" t="n">
        <x:v>1.11</x:v>
      </x:c>
      <x:c r="I35" t="str">
        <x:v>Normal</x:v>
      </x:c>
      <x:c r="J35" t="str">
        <x:v>Synthetic</x:v>
      </x:c>
    </x:row>
    <x:row r="36">
      <x:c r="A36" s="94" t="n">
        <x:v>46118</x:v>
      </x:c>
      <x:c r="B36" s="96" t="n">
        <x:v>2270</x:v>
      </x:c>
      <x:c r="C36" s="96" t="n">
        <x:v>1857</x:v>
      </x:c>
      <x:c r="D36" s="96" t="n">
        <x:v>3281</x:v>
      </x:c>
      <x:c r="E36" s="96" t="n">
        <x:v>1007</x:v>
      </x:c>
      <x:c r="F36" s="96" t="n">
        <x:v>806</x:v>
      </x:c>
      <x:c r="G36" s="96" t="n">
        <x:v>9221</x:v>
      </x:c>
      <x:c r="H36" s="98" t="n">
        <x:v>1.12</x:v>
      </x:c>
      <x:c r="I36" t="str">
        <x:v>Normal</x:v>
      </x:c>
      <x:c r="J36" t="str">
        <x:v>Synthetic</x:v>
      </x:c>
    </x:row>
    <x:row r="37">
      <x:c r="A37" s="94" t="n">
        <x:v>46125</x:v>
      </x:c>
      <x:c r="B37" s="96" t="n">
        <x:v>2326</x:v>
      </x:c>
      <x:c r="C37" s="96" t="n">
        <x:v>1727</x:v>
      </x:c>
      <x:c r="D37" s="96" t="n">
        <x:v>2898</x:v>
      </x:c>
      <x:c r="E37" s="96" t="n">
        <x:v>973</x:v>
      </x:c>
      <x:c r="F37" s="96" t="n">
        <x:v>862</x:v>
      </x:c>
      <x:c r="G37" s="96" t="n">
        <x:v>8786</x:v>
      </x:c>
      <x:c r="H37" s="98" t="n">
        <x:v>1.12</x:v>
      </x:c>
      <x:c r="I37" t="str">
        <x:v>Normal</x:v>
      </x:c>
      <x:c r="J37" t="str">
        <x:v>Synthetic</x:v>
      </x:c>
    </x:row>
    <x:row r="38">
      <x:c r="A38" s="94" t="n">
        <x:v>46132</x:v>
      </x:c>
      <x:c r="B38" s="96" t="n">
        <x:v>2447</x:v>
      </x:c>
      <x:c r="C38" s="96" t="n">
        <x:v>1855</x:v>
      </x:c>
      <x:c r="D38" s="96" t="n">
        <x:v>3424</x:v>
      </x:c>
      <x:c r="E38" s="96" t="n">
        <x:v>949</x:v>
      </x:c>
      <x:c r="F38" s="96" t="n">
        <x:v>796</x:v>
      </x:c>
      <x:c r="G38" s="96" t="n">
        <x:v>9471</x:v>
      </x:c>
      <x:c r="H38" s="98" t="n">
        <x:v>1.11</x:v>
      </x:c>
      <x:c r="I38" t="str">
        <x:v>Normal</x:v>
      </x:c>
      <x:c r="J38" t="str">
        <x:v>Synthetic</x:v>
      </x:c>
    </x:row>
    <x:row r="39">
      <x:c r="A39" s="94" t="n">
        <x:v>46139</x:v>
      </x:c>
      <x:c r="B39" s="96" t="n">
        <x:v>2284</x:v>
      </x:c>
      <x:c r="C39" s="96" t="n">
        <x:v>1861</x:v>
      </x:c>
      <x:c r="D39" s="96" t="n">
        <x:v>3027</x:v>
      </x:c>
      <x:c r="E39" s="96" t="n">
        <x:v>1062</x:v>
      </x:c>
      <x:c r="F39" s="96" t="n">
        <x:v>791</x:v>
      </x:c>
      <x:c r="G39" s="96" t="n">
        <x:v>9025</x:v>
      </x:c>
      <x:c r="H39" s="98" t="n">
        <x:v>1.1</x:v>
      </x:c>
      <x:c r="I39" t="str">
        <x:v>Normal</x:v>
      </x:c>
      <x:c r="J39" t="str">
        <x:v>Synthetic</x:v>
      </x:c>
    </x:row>
    <x:row r="40">
      <x:c r="A40" s="94" t="n">
        <x:v>46146</x:v>
      </x:c>
      <x:c r="B40" s="96" t="n">
        <x:v>2358</x:v>
      </x:c>
      <x:c r="C40" s="96" t="n">
        <x:v>1701</x:v>
      </x:c>
      <x:c r="D40" s="96" t="n">
        <x:v>2874</x:v>
      </x:c>
      <x:c r="E40" s="96" t="n">
        <x:v>921</x:v>
      </x:c>
      <x:c r="F40" s="96" t="n">
        <x:v>721</x:v>
      </x:c>
      <x:c r="G40" s="96" t="n">
        <x:v>8575</x:v>
      </x:c>
      <x:c r="H40" s="98" t="n">
        <x:v>1.07</x:v>
      </x:c>
      <x:c r="I40" t="str">
        <x:v>Normal</x:v>
      </x:c>
      <x:c r="J40" t="str">
        <x:v>Synthetic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1b62da76fa747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0" hidden="0" customWidth="1"/>
  </x:cols>
  <x:sheetData>
    <x:row r="1" ht="28" customHeight="1">
      <x:c r="A1" s="5" t="str">
        <x:v>Forecast Model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3" t="str">
        <x:v>Moving-average forecast with scenario and automation adjustment.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24" customHeight="1">
      <x:c r="A4" s="22" t="str">
        <x:v>Forecast Week</x:v>
      </x:c>
      <x:c r="B4" s="22" t="str">
        <x:v>Baseline MA</x:v>
      </x:c>
      <x:c r="C4" s="22" t="str">
        <x:v>Seasonality</x:v>
      </x:c>
      <x:c r="D4" s="22" t="str">
        <x:v>Base Forecast</x:v>
      </x:c>
      <x:c r="E4" s="22" t="str">
        <x:v>Bull Forecast</x:v>
      </x:c>
      <x:c r="F4" s="22" t="str">
        <x:v>Bear Forecast</x:v>
      </x:c>
      <x:c r="G4" s="22" t="str">
        <x:v>Automation Adjusted Base</x:v>
      </x:c>
      <x:c r="H4" s="22" t="str">
        <x:v>Automation Adjusted Bull</x:v>
      </x:c>
      <x:c r="I4" s="22" t="str">
        <x:v>Automation Adjusted Bear</x:v>
      </x:c>
      <x:c r="J4" s="22" t="str">
        <x:v>Forecast Confidence</x:v>
      </x:c>
      <x:c r="K4" s="22" t="str">
        <x:v>Comment</x:v>
      </x:c>
    </x:row>
    <x:row r="5">
      <x:c r="A5" s="94" t="n">
        <x:v>46153</x:v>
      </x:c>
      <x:c r="B5" s="96" t="n">
        <x:f>AVERAGE(Historical_Demand!$G$35:$G$40)</x:f>
        <x:v>9071.5</x:v>
      </x:c>
      <x:c r="C5" s="96" t="n">
        <x:v>1.04</x:v>
      </x:c>
      <x:c r="D5" s="96" t="n">
        <x:f>B5*C5*Inputs!$B$9</x:f>
        <x:v>9434.36</x:v>
      </x:c>
      <x:c r="E5" s="96" t="n">
        <x:f>B5*C5*Inputs!$B$10</x:f>
        <x:v>10849.514</x:v>
      </x:c>
      <x:c r="F5" s="96" t="n">
        <x:f>B5*C5*Inputs!$B$11</x:f>
        <x:v>8490.924</x:v>
      </x:c>
      <x:c r="G5" s="96" t="n">
        <x:f>D5*(1-Inputs!$B$12)</x:f>
        <x:v>8302.2368</x:v>
      </x:c>
      <x:c r="H5" s="96" t="n">
        <x:f>E5*(1-Inputs!$B$12)</x:f>
        <x:v>9547.57232</x:v>
      </x:c>
      <x:c r="I5" s="96" t="n">
        <x:f>F5*(1-Inputs!$B$12)</x:f>
        <x:v>7472.0131200000005</x:v>
      </x:c>
      <x:c r="J5" t="str">
        <x:v>Medium</x:v>
      </x:c>
      <x:c r="K5" t="str">
        <x:v>Formula-based synthetic forecast</x:v>
      </x:c>
    </x:row>
    <x:row r="6">
      <x:c r="A6" s="94" t="n">
        <x:v>46160</x:v>
      </x:c>
      <x:c r="B6" s="96" t="n">
        <x:f>AVERAGE(Historical_Demand!$G$35:$G$40)</x:f>
        <x:v>9071.5</x:v>
      </x:c>
      <x:c r="C6" s="96" t="n">
        <x:v>1.02</x:v>
      </x:c>
      <x:c r="D6" s="96" t="n">
        <x:f>B6*C6*Inputs!$B$9</x:f>
        <x:v>9252.93</x:v>
      </x:c>
      <x:c r="E6" s="96" t="n">
        <x:f>B6*C6*Inputs!$B$10</x:f>
        <x:v>10640.869499999999</x:v>
      </x:c>
      <x:c r="F6" s="96" t="n">
        <x:f>B6*C6*Inputs!$B$11</x:f>
        <x:v>8327.637</x:v>
      </x:c>
      <x:c r="G6" s="96" t="n">
        <x:f>D6*(1-Inputs!$B$12)</x:f>
        <x:v>8142.5784</x:v>
      </x:c>
      <x:c r="H6" s="96" t="n">
        <x:f>E6*(1-Inputs!$B$12)</x:f>
        <x:v>9363.96516</x:v>
      </x:c>
      <x:c r="I6" s="96" t="n">
        <x:f>F6*(1-Inputs!$B$12)</x:f>
        <x:v>7328.320560000001</x:v>
      </x:c>
      <x:c r="J6" t="str">
        <x:v>Medium</x:v>
      </x:c>
      <x:c r="K6" t="str">
        <x:v>Formula-based synthetic forecast</x:v>
      </x:c>
    </x:row>
    <x:row r="7">
      <x:c r="A7" s="94" t="n">
        <x:v>46167</x:v>
      </x:c>
      <x:c r="B7" s="96" t="n">
        <x:f>AVERAGE(Historical_Demand!$G$35:$G$40)</x:f>
        <x:v>9071.5</x:v>
      </x:c>
      <x:c r="C7" s="96" t="n">
        <x:v>0.99</x:v>
      </x:c>
      <x:c r="D7" s="96" t="n">
        <x:f>B7*C7*Inputs!$B$9</x:f>
        <x:v>8980.785</x:v>
      </x:c>
      <x:c r="E7" s="96" t="n">
        <x:f>B7*C7*Inputs!$B$10</x:f>
        <x:v>10327.90275</x:v>
      </x:c>
      <x:c r="F7" s="96" t="n">
        <x:f>B7*C7*Inputs!$B$11</x:f>
        <x:v>8082.7065</x:v>
      </x:c>
      <x:c r="G7" s="96" t="n">
        <x:f>D7*(1-Inputs!$B$12)</x:f>
        <x:v>7903.0908</x:v>
      </x:c>
      <x:c r="H7" s="96" t="n">
        <x:f>E7*(1-Inputs!$B$12)</x:f>
        <x:v>9088.554419999999</x:v>
      </x:c>
      <x:c r="I7" s="96" t="n">
        <x:f>F7*(1-Inputs!$B$12)</x:f>
        <x:v>7112.78172</x:v>
      </x:c>
      <x:c r="J7" t="str">
        <x:v>Medium</x:v>
      </x:c>
      <x:c r="K7" t="str">
        <x:v>Formula-based synthetic forecast</x:v>
      </x:c>
    </x:row>
    <x:row r="8">
      <x:c r="A8" s="94" t="n">
        <x:v>46174</x:v>
      </x:c>
      <x:c r="B8" s="96" t="n">
        <x:f>AVERAGE(Historical_Demand!$G$35:$G$40)</x:f>
        <x:v>9071.5</x:v>
      </x:c>
      <x:c r="C8" s="96" t="n">
        <x:v>0.97</x:v>
      </x:c>
      <x:c r="D8" s="96" t="n">
        <x:f>B8*C8*Inputs!$B$9</x:f>
        <x:v>8799.355</x:v>
      </x:c>
      <x:c r="E8" s="96" t="n">
        <x:f>B8*C8*Inputs!$B$10</x:f>
        <x:v>10119.258249999999</x:v>
      </x:c>
      <x:c r="F8" s="96" t="n">
        <x:f>B8*C8*Inputs!$B$11</x:f>
        <x:v>7919.4195</x:v>
      </x:c>
      <x:c r="G8" s="96" t="n">
        <x:f>D8*(1-Inputs!$B$12)</x:f>
        <x:v>7743.4324</x:v>
      </x:c>
      <x:c r="H8" s="96" t="n">
        <x:f>E8*(1-Inputs!$B$12)</x:f>
        <x:v>8904.947259999999</x:v>
      </x:c>
      <x:c r="I8" s="96" t="n">
        <x:f>F8*(1-Inputs!$B$12)</x:f>
        <x:v>6969.08916</x:v>
      </x:c>
      <x:c r="J8" t="str">
        <x:v>Medium</x:v>
      </x:c>
      <x:c r="K8" t="str">
        <x:v>Formula-based synthetic forecast</x:v>
      </x:c>
    </x:row>
    <x:row r="9">
      <x:c r="A9" s="94" t="n">
        <x:v>46181</x:v>
      </x:c>
      <x:c r="B9" s="96" t="n">
        <x:f>AVERAGE(Historical_Demand!$G$35:$G$40)</x:f>
        <x:v>9071.5</x:v>
      </x:c>
      <x:c r="C9" s="96" t="n">
        <x:v>0.95</x:v>
      </x:c>
      <x:c r="D9" s="96" t="n">
        <x:f>B9*C9*Inputs!$B$9</x:f>
        <x:v>8617.925</x:v>
      </x:c>
      <x:c r="E9" s="96" t="n">
        <x:f>B9*C9*Inputs!$B$10</x:f>
        <x:v>9910.613749999999</x:v>
      </x:c>
      <x:c r="F9" s="96" t="n">
        <x:f>B9*C9*Inputs!$B$11</x:f>
        <x:v>7756.1325</x:v>
      </x:c>
      <x:c r="G9" s="96" t="n">
        <x:f>D9*(1-Inputs!$B$12)</x:f>
        <x:v>7583.773999999999</x:v>
      </x:c>
      <x:c r="H9" s="96" t="n">
        <x:f>E9*(1-Inputs!$B$12)</x:f>
        <x:v>8721.3401</x:v>
      </x:c>
      <x:c r="I9" s="96" t="n">
        <x:f>F9*(1-Inputs!$B$12)</x:f>
        <x:v>6825.3966</x:v>
      </x:c>
      <x:c r="J9" t="str">
        <x:v>Medium</x:v>
      </x:c>
      <x:c r="K9" t="str">
        <x:v>Formula-based synthetic forecast</x:v>
      </x:c>
    </x:row>
    <x:row r="10">
      <x:c r="A10" s="94" t="n">
        <x:v>46188</x:v>
      </x:c>
      <x:c r="B10" s="96" t="n">
        <x:f>AVERAGE(Historical_Demand!$G$35:$G$40)</x:f>
        <x:v>9071.5</x:v>
      </x:c>
      <x:c r="C10" s="96" t="n">
        <x:v>0.93</x:v>
      </x:c>
      <x:c r="D10" s="96" t="n">
        <x:f>B10*C10*Inputs!$B$9</x:f>
        <x:v>8436.495</x:v>
      </x:c>
      <x:c r="E10" s="96" t="n">
        <x:f>B10*C10*Inputs!$B$10</x:f>
        <x:v>9701.96925</x:v>
      </x:c>
      <x:c r="F10" s="96" t="n">
        <x:f>B10*C10*Inputs!$B$11</x:f>
        <x:v>7592.845500000001</x:v>
      </x:c>
      <x:c r="G10" s="96" t="n">
        <x:f>D10*(1-Inputs!$B$12)</x:f>
        <x:v>7424.115600000001</x:v>
      </x:c>
      <x:c r="H10" s="96" t="n">
        <x:f>E10*(1-Inputs!$B$12)</x:f>
        <x:v>8537.73294</x:v>
      </x:c>
      <x:c r="I10" s="96" t="n">
        <x:f>F10*(1-Inputs!$B$12)</x:f>
        <x:v>6681.704040000001</x:v>
      </x:c>
      <x:c r="J10" t="str">
        <x:v>Medium</x:v>
      </x:c>
      <x:c r="K10" t="str">
        <x:v>Formula-based synthetic forecast</x:v>
      </x:c>
    </x:row>
    <x:row r="11">
      <x:c r="A11" s="94" t="n">
        <x:v>46195</x:v>
      </x:c>
      <x:c r="B11" s="96" t="n">
        <x:f>AVERAGE(Historical_Demand!$G$35:$G$40)</x:f>
        <x:v>9071.5</x:v>
      </x:c>
      <x:c r="C11" s="96" t="n">
        <x:v>0.91</x:v>
      </x:c>
      <x:c r="D11" s="96" t="n">
        <x:f>B11*C11*Inputs!$B$9</x:f>
        <x:v>8255.065</x:v>
      </x:c>
      <x:c r="E11" s="96" t="n">
        <x:f>B11*C11*Inputs!$B$10</x:f>
        <x:v>9493.32475</x:v>
      </x:c>
      <x:c r="F11" s="96" t="n">
        <x:f>B11*C11*Inputs!$B$11</x:f>
        <x:v>7429.558500000001</x:v>
      </x:c>
      <x:c r="G11" s="96" t="n">
        <x:f>D11*(1-Inputs!$B$12)</x:f>
        <x:v>7264.457200000001</x:v>
      </x:c>
      <x:c r="H11" s="96" t="n">
        <x:f>E11*(1-Inputs!$B$12)</x:f>
        <x:v>8354.12578</x:v>
      </x:c>
      <x:c r="I11" s="96" t="n">
        <x:f>F11*(1-Inputs!$B$12)</x:f>
        <x:v>6538.011480000001</x:v>
      </x:c>
      <x:c r="J11" t="str">
        <x:v>Medium</x:v>
      </x:c>
      <x:c r="K11" t="str">
        <x:v>Formula-based synthetic forecast</x:v>
      </x:c>
    </x:row>
    <x:row r="12">
      <x:c r="A12" s="94" t="n">
        <x:v>46202</x:v>
      </x:c>
      <x:c r="B12" s="96" t="n">
        <x:f>AVERAGE(Historical_Demand!$G$35:$G$40)</x:f>
        <x:v>9071.5</x:v>
      </x:c>
      <x:c r="C12" s="96" t="n">
        <x:v>0.9</x:v>
      </x:c>
      <x:c r="D12" s="96" t="n">
        <x:f>B12*C12*Inputs!$B$9</x:f>
        <x:v>8164.35</x:v>
      </x:c>
      <x:c r="E12" s="96" t="n">
        <x:f>B12*C12*Inputs!$B$10</x:f>
        <x:v>9389.0025</x:v>
      </x:c>
      <x:c r="F12" s="96" t="n">
        <x:f>B12*C12*Inputs!$B$11</x:f>
        <x:v>7347.915000000001</x:v>
      </x:c>
      <x:c r="G12" s="96" t="n">
        <x:f>D12*(1-Inputs!$B$12)</x:f>
        <x:v>7184.628000000001</x:v>
      </x:c>
      <x:c r="H12" s="96" t="n">
        <x:f>E12*(1-Inputs!$B$12)</x:f>
        <x:v>8262.3222</x:v>
      </x:c>
      <x:c r="I12" s="96" t="n">
        <x:f>F12*(1-Inputs!$B$12)</x:f>
        <x:v>6466.1652</x:v>
      </x:c>
      <x:c r="J12" t="str">
        <x:v>Medium</x:v>
      </x:c>
      <x:c r="K12" t="str">
        <x:v>Formula-based synthetic forecast</x:v>
      </x:c>
    </x:row>
    <x:row r="13">
      <x:c r="A13" s="94" t="n">
        <x:v>46209</x:v>
      </x:c>
      <x:c r="B13" s="96" t="n">
        <x:f>AVERAGE(Historical_Demand!$G$35:$G$40)</x:f>
        <x:v>9071.5</x:v>
      </x:c>
      <x:c r="C13" s="96" t="n">
        <x:v>0.9</x:v>
      </x:c>
      <x:c r="D13" s="96" t="n">
        <x:f>B13*C13*Inputs!$B$9</x:f>
        <x:v>8164.35</x:v>
      </x:c>
      <x:c r="E13" s="96" t="n">
        <x:f>B13*C13*Inputs!$B$10</x:f>
        <x:v>9389.0025</x:v>
      </x:c>
      <x:c r="F13" s="96" t="n">
        <x:f>B13*C13*Inputs!$B$11</x:f>
        <x:v>7347.915000000001</x:v>
      </x:c>
      <x:c r="G13" s="96" t="n">
        <x:f>D13*(1-Inputs!$B$12)</x:f>
        <x:v>7184.628000000001</x:v>
      </x:c>
      <x:c r="H13" s="96" t="n">
        <x:f>E13*(1-Inputs!$B$12)</x:f>
        <x:v>8262.3222</x:v>
      </x:c>
      <x:c r="I13" s="96" t="n">
        <x:f>F13*(1-Inputs!$B$12)</x:f>
        <x:v>6466.1652</x:v>
      </x:c>
      <x:c r="J13" t="str">
        <x:v>Medium</x:v>
      </x:c>
      <x:c r="K13" t="str">
        <x:v>Formula-based synthetic forecast</x:v>
      </x:c>
    </x:row>
    <x:row r="14">
      <x:c r="A14" s="94" t="n">
        <x:v>46216</x:v>
      </x:c>
      <x:c r="B14" s="96" t="n">
        <x:f>AVERAGE(Historical_Demand!$G$35:$G$40)</x:f>
        <x:v>9071.5</x:v>
      </x:c>
      <x:c r="C14" s="96" t="n">
        <x:v>0.9</x:v>
      </x:c>
      <x:c r="D14" s="96" t="n">
        <x:f>B14*C14*Inputs!$B$9</x:f>
        <x:v>8164.35</x:v>
      </x:c>
      <x:c r="E14" s="96" t="n">
        <x:f>B14*C14*Inputs!$B$10</x:f>
        <x:v>9389.0025</x:v>
      </x:c>
      <x:c r="F14" s="96" t="n">
        <x:f>B14*C14*Inputs!$B$11</x:f>
        <x:v>7347.915000000001</x:v>
      </x:c>
      <x:c r="G14" s="96" t="n">
        <x:f>D14*(1-Inputs!$B$12)</x:f>
        <x:v>7184.628000000001</x:v>
      </x:c>
      <x:c r="H14" s="96" t="n">
        <x:f>E14*(1-Inputs!$B$12)</x:f>
        <x:v>8262.3222</x:v>
      </x:c>
      <x:c r="I14" s="96" t="n">
        <x:f>F14*(1-Inputs!$B$12)</x:f>
        <x:v>6466.1652</x:v>
      </x:c>
      <x:c r="J14" t="str">
        <x:v>Medium</x:v>
      </x:c>
      <x:c r="K14" t="str">
        <x:v>Formula-based synthetic forecast</x:v>
      </x:c>
    </x:row>
    <x:row r="15">
      <x:c r="A15" s="94" t="n">
        <x:v>46223</x:v>
      </x:c>
      <x:c r="B15" s="96" t="n">
        <x:f>AVERAGE(Historical_Demand!$G$35:$G$40)</x:f>
        <x:v>9071.5</x:v>
      </x:c>
      <x:c r="C15" s="96" t="n">
        <x:v>0.91</x:v>
      </x:c>
      <x:c r="D15" s="96" t="n">
        <x:f>B15*C15*Inputs!$B$9</x:f>
        <x:v>8255.065</x:v>
      </x:c>
      <x:c r="E15" s="96" t="n">
        <x:f>B15*C15*Inputs!$B$10</x:f>
        <x:v>9493.32475</x:v>
      </x:c>
      <x:c r="F15" s="96" t="n">
        <x:f>B15*C15*Inputs!$B$11</x:f>
        <x:v>7429.558500000001</x:v>
      </x:c>
      <x:c r="G15" s="96" t="n">
        <x:f>D15*(1-Inputs!$B$12)</x:f>
        <x:v>7264.457200000001</x:v>
      </x:c>
      <x:c r="H15" s="96" t="n">
        <x:f>E15*(1-Inputs!$B$12)</x:f>
        <x:v>8354.12578</x:v>
      </x:c>
      <x:c r="I15" s="96" t="n">
        <x:f>F15*(1-Inputs!$B$12)</x:f>
        <x:v>6538.011480000001</x:v>
      </x:c>
      <x:c r="J15" t="str">
        <x:v>Medium</x:v>
      </x:c>
      <x:c r="K15" t="str">
        <x:v>Formula-based synthetic forecast</x:v>
      </x:c>
    </x:row>
    <x:row r="16">
      <x:c r="A16" s="94" t="n">
        <x:v>46230</x:v>
      </x:c>
      <x:c r="B16" s="96" t="n">
        <x:f>AVERAGE(Historical_Demand!$G$35:$G$40)</x:f>
        <x:v>9071.5</x:v>
      </x:c>
      <x:c r="C16" s="96" t="n">
        <x:v>0.93</x:v>
      </x:c>
      <x:c r="D16" s="96" t="n">
        <x:f>B16*C16*Inputs!$B$9</x:f>
        <x:v>8436.495</x:v>
      </x:c>
      <x:c r="E16" s="96" t="n">
        <x:f>B16*C16*Inputs!$B$10</x:f>
        <x:v>9701.96925</x:v>
      </x:c>
      <x:c r="F16" s="96" t="n">
        <x:f>B16*C16*Inputs!$B$11</x:f>
        <x:v>7592.845500000001</x:v>
      </x:c>
      <x:c r="G16" s="96" t="n">
        <x:f>D16*(1-Inputs!$B$12)</x:f>
        <x:v>7424.115600000001</x:v>
      </x:c>
      <x:c r="H16" s="96" t="n">
        <x:f>E16*(1-Inputs!$B$12)</x:f>
        <x:v>8537.73294</x:v>
      </x:c>
      <x:c r="I16" s="96" t="n">
        <x:f>F16*(1-Inputs!$B$12)</x:f>
        <x:v>6681.704040000001</x:v>
      </x:c>
      <x:c r="J16" t="str">
        <x:v>Medium</x:v>
      </x:c>
      <x:c r="K16" t="str">
        <x:v>Formula-based synthetic forecast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b9ea9c486c944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  <x:col min="12" max="12" width="18" hidden="0" customWidth="1"/>
  </x:cols>
  <x:sheetData>
    <x:row r="1" ht="28" customHeight="1">
      <x:c r="A1" s="5" t="str">
        <x:v>Capacity Plan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3" t="str">
        <x:v>Converts forecast cases into required FTE and SLA risk.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24" customHeight="1">
      <x:c r="A4" s="22" t="str">
        <x:v>Week</x:v>
      </x:c>
      <x:c r="B4" s="22" t="str">
        <x:v>Scenario</x:v>
      </x:c>
      <x:c r="C4" s="22" t="str">
        <x:v>Forecast Cases</x:v>
      </x:c>
      <x:c r="D4" s="22" t="str">
        <x:v>AHT Minutes</x:v>
      </x:c>
      <x:c r="E4" s="22" t="str">
        <x:v>Required Hours</x:v>
      </x:c>
      <x:c r="F4" s="22" t="str">
        <x:v>Required FTE</x:v>
      </x:c>
      <x:c r="G4" s="22" t="str">
        <x:v>Current FTE</x:v>
      </x:c>
      <x:c r="H4" s="22" t="str">
        <x:v>FTE Gap/Surplus</x:v>
      </x:c>
      <x:c r="I4" s="22" t="str">
        <x:v>Utilization</x:v>
      </x:c>
      <x:c r="J4" s="22" t="str">
        <x:v>SLA Risk</x:v>
      </x:c>
      <x:c r="K4" s="22" t="str">
        <x:v>Action</x:v>
      </x:c>
      <x:c r="L4" s="22" t="str">
        <x:v>Owner</x:v>
      </x:c>
    </x:row>
    <x:row r="5">
      <x:c r="A5" s="94" t="n">
        <x:v>46153</x:v>
      </x:c>
      <x:c r="B5" t="str">
        <x:v>Base</x:v>
      </x:c>
      <x:c r="C5" s="96" t="n">
        <x:f>Forecast_Model!G5</x:f>
        <x:v>8302.2368</x:v>
      </x:c>
      <x:c r="D5" s="100" t="n">
        <x:f>Inputs!$B$5</x:f>
        <x:v>18</x:v>
      </x:c>
      <x:c r="E5" s="102" t="n">
        <x:f>C5*D5/60</x:f>
        <x:v>2490.67104</x:v>
      </x:c>
      <x:c r="F5" s="102" t="n">
        <x:f>E5/Inputs!$B$6/Inputs!$B$7</x:f>
        <x:v>99.7865</x:v>
      </x:c>
      <x:c r="G5" s="102" t="n">
        <x:v>78</x:v>
      </x:c>
      <x:c r="H5" s="102" t="n">
        <x:f>G5-F5</x:f>
        <x:v>-21.786500000000004</x:v>
      </x:c>
      <x:c r="I5" s="104" t="n">
        <x:f>F5/G5</x:f>
        <x:v>1.2793141025641026</x:v>
      </x:c>
      <x:c r="J5" t="str">
        <x:f>IF(H5&lt;0,"High",IF(I5&gt;0.90,"Medium","Low"))</x:f>
        <x:v>High</x:v>
      </x:c>
      <x:c r="K5" t="str">
        <x:f>IF(J5="High","Add flex capacity / overtime",IF(J5="Medium","Monitor daily queue", "Maintain plan"))</x:f>
        <x:v>Add flex capacity / overtime</x:v>
      </x:c>
      <x:c r="L5" t="str">
        <x:v>Workforce Planning</x:v>
      </x:c>
    </x:row>
    <x:row r="6">
      <x:c r="A6" s="94" t="n">
        <x:v>46160</x:v>
      </x:c>
      <x:c r="B6" t="str">
        <x:v>Base</x:v>
      </x:c>
      <x:c r="C6" s="96" t="n">
        <x:f>Forecast_Model!G6</x:f>
        <x:v>8142.5784</x:v>
      </x:c>
      <x:c r="D6" s="100" t="n">
        <x:f>Inputs!$B$5</x:f>
        <x:v>18</x:v>
      </x:c>
      <x:c r="E6" s="102" t="n">
        <x:f>C6*D6/60</x:f>
        <x:v>2442.77352</x:v>
      </x:c>
      <x:c r="F6" s="102" t="n">
        <x:f>E6/Inputs!$B$6/Inputs!$B$7</x:f>
        <x:v>97.86752884615385</x:v>
      </x:c>
      <x:c r="G6" s="102" t="n">
        <x:v>80</x:v>
      </x:c>
      <x:c r="H6" s="102" t="n">
        <x:f>G6-F6</x:f>
        <x:v>-17.867528846153846</x:v>
      </x:c>
      <x:c r="I6" s="104" t="n">
        <x:f>F6/G6</x:f>
        <x:v>1.2233441105769232</x:v>
      </x:c>
      <x:c r="J6" t="str">
        <x:f>IF(H6&lt;0,"High",IF(I6&gt;0.90,"Medium","Low"))</x:f>
        <x:v>High</x:v>
      </x:c>
      <x:c r="K6" t="str">
        <x:f>IF(J6="High","Add flex capacity / overtime",IF(J6="Medium","Monitor daily queue", "Maintain plan"))</x:f>
        <x:v>Add flex capacity / overtime</x:v>
      </x:c>
      <x:c r="L6" t="str">
        <x:v>Workforce Planning</x:v>
      </x:c>
    </x:row>
    <x:row r="7">
      <x:c r="A7" s="94" t="n">
        <x:v>46167</x:v>
      </x:c>
      <x:c r="B7" t="str">
        <x:v>Base</x:v>
      </x:c>
      <x:c r="C7" s="96" t="n">
        <x:f>Forecast_Model!G7</x:f>
        <x:v>7903.0908</x:v>
      </x:c>
      <x:c r="D7" s="100" t="n">
        <x:f>Inputs!$B$5</x:f>
        <x:v>18</x:v>
      </x:c>
      <x:c r="E7" s="102" t="n">
        <x:f>C7*D7/60</x:f>
        <x:v>2370.92724</x:v>
      </x:c>
      <x:c r="F7" s="102" t="n">
        <x:f>E7/Inputs!$B$6/Inputs!$B$7</x:f>
        <x:v>94.98907211538462</x:v>
      </x:c>
      <x:c r="G7" s="102" t="n">
        <x:v>82</x:v>
      </x:c>
      <x:c r="H7" s="102" t="n">
        <x:f>G7-F7</x:f>
        <x:v>-12.989072115384616</x:v>
      </x:c>
      <x:c r="I7" s="104" t="n">
        <x:f>F7/G7</x:f>
        <x:v>1.1584033184803002</x:v>
      </x:c>
      <x:c r="J7" t="str">
        <x:f>IF(H7&lt;0,"High",IF(I7&gt;0.90,"Medium","Low"))</x:f>
        <x:v>High</x:v>
      </x:c>
      <x:c r="K7" t="str">
        <x:f>IF(J7="High","Add flex capacity / overtime",IF(J7="Medium","Monitor daily queue", "Maintain plan"))</x:f>
        <x:v>Add flex capacity / overtime</x:v>
      </x:c>
      <x:c r="L7" t="str">
        <x:v>Workforce Planning</x:v>
      </x:c>
    </x:row>
    <x:row r="8">
      <x:c r="A8" s="94" t="n">
        <x:v>46174</x:v>
      </x:c>
      <x:c r="B8" t="str">
        <x:v>Base</x:v>
      </x:c>
      <x:c r="C8" s="96" t="n">
        <x:f>Forecast_Model!G8</x:f>
        <x:v>7743.4324</x:v>
      </x:c>
      <x:c r="D8" s="100" t="n">
        <x:f>Inputs!$B$5</x:f>
        <x:v>18</x:v>
      </x:c>
      <x:c r="E8" s="102" t="n">
        <x:f>C8*D8/60</x:f>
        <x:v>2323.02972</x:v>
      </x:c>
      <x:c r="F8" s="102" t="n">
        <x:f>E8/Inputs!$B$6/Inputs!$B$7</x:f>
        <x:v>93.07010096153846</x:v>
      </x:c>
      <x:c r="G8" s="102" t="n">
        <x:v>82</x:v>
      </x:c>
      <x:c r="H8" s="102" t="n">
        <x:f>G8-F8</x:f>
        <x:v>-11.070100961538458</x:v>
      </x:c>
      <x:c r="I8" s="104" t="n">
        <x:f>F8/G8</x:f>
        <x:v>1.1350012312382738</x:v>
      </x:c>
      <x:c r="J8" t="str">
        <x:f>IF(H8&lt;0,"High",IF(I8&gt;0.90,"Medium","Low"))</x:f>
        <x:v>High</x:v>
      </x:c>
      <x:c r="K8" t="str">
        <x:f>IF(J8="High","Add flex capacity / overtime",IF(J8="Medium","Monitor daily queue", "Maintain plan"))</x:f>
        <x:v>Add flex capacity / overtime</x:v>
      </x:c>
      <x:c r="L8" t="str">
        <x:v>Workforce Planning</x:v>
      </x:c>
    </x:row>
    <x:row r="9">
      <x:c r="A9" s="94" t="n">
        <x:v>46181</x:v>
      </x:c>
      <x:c r="B9" t="str">
        <x:v>Base</x:v>
      </x:c>
      <x:c r="C9" s="96" t="n">
        <x:f>Forecast_Model!G9</x:f>
        <x:v>7583.773999999999</x:v>
      </x:c>
      <x:c r="D9" s="100" t="n">
        <x:f>Inputs!$B$5</x:f>
        <x:v>18</x:v>
      </x:c>
      <x:c r="E9" s="102" t="n">
        <x:f>C9*D9/60</x:f>
        <x:v>2275.1322</x:v>
      </x:c>
      <x:c r="F9" s="102" t="n">
        <x:f>E9/Inputs!$B$6/Inputs!$B$7</x:f>
        <x:v>91.1511298076923</x:v>
      </x:c>
      <x:c r="G9" s="102" t="n">
        <x:v>82</x:v>
      </x:c>
      <x:c r="H9" s="102" t="n">
        <x:f>G9-F9</x:f>
        <x:v>-9.1511298076923</x:v>
      </x:c>
      <x:c r="I9" s="104" t="n">
        <x:f>F9/G9</x:f>
        <x:v>1.1115991439962476</x:v>
      </x:c>
      <x:c r="J9" t="str">
        <x:f>IF(H9&lt;0,"High",IF(I9&gt;0.90,"Medium","Low"))</x:f>
        <x:v>High</x:v>
      </x:c>
      <x:c r="K9" t="str">
        <x:f>IF(J9="High","Add flex capacity / overtime",IF(J9="Medium","Monitor daily queue", "Maintain plan"))</x:f>
        <x:v>Add flex capacity / overtime</x:v>
      </x:c>
      <x:c r="L9" t="str">
        <x:v>Workforce Planning</x:v>
      </x:c>
    </x:row>
    <x:row r="10">
      <x:c r="A10" s="94" t="n">
        <x:v>46188</x:v>
      </x:c>
      <x:c r="B10" t="str">
        <x:v>Base</x:v>
      </x:c>
      <x:c r="C10" s="96" t="n">
        <x:f>Forecast_Model!G10</x:f>
        <x:v>7424.115600000001</x:v>
      </x:c>
      <x:c r="D10" s="100" t="n">
        <x:f>Inputs!$B$5</x:f>
        <x:v>18</x:v>
      </x:c>
      <x:c r="E10" s="102" t="n">
        <x:f>C10*D10/60</x:f>
        <x:v>2227.2346800000005</x:v>
      </x:c>
      <x:c r="F10" s="102" t="n">
        <x:f>E10/Inputs!$B$6/Inputs!$B$7</x:f>
        <x:v>89.23215865384617</x:v>
      </x:c>
      <x:c r="G10" s="102" t="n">
        <x:v>84</x:v>
      </x:c>
      <x:c r="H10" s="102" t="n">
        <x:f>G10-F10</x:f>
        <x:v>-5.23215865384617</x:v>
      </x:c>
      <x:c r="I10" s="104" t="n">
        <x:f>F10/G10</x:f>
        <x:v>1.062287603021978</x:v>
      </x:c>
      <x:c r="J10" t="str">
        <x:f>IF(H10&lt;0,"High",IF(I10&gt;0.90,"Medium","Low"))</x:f>
        <x:v>High</x:v>
      </x:c>
      <x:c r="K10" t="str">
        <x:f>IF(J10="High","Add flex capacity / overtime",IF(J10="Medium","Monitor daily queue", "Maintain plan"))</x:f>
        <x:v>Add flex capacity / overtime</x:v>
      </x:c>
      <x:c r="L10" t="str">
        <x:v>Workforce Planning</x:v>
      </x:c>
    </x:row>
    <x:row r="11">
      <x:c r="A11" s="94" t="n">
        <x:v>46195</x:v>
      </x:c>
      <x:c r="B11" t="str">
        <x:v>Base</x:v>
      </x:c>
      <x:c r="C11" s="96" t="n">
        <x:f>Forecast_Model!G11</x:f>
        <x:v>7264.457200000001</x:v>
      </x:c>
      <x:c r="D11" s="100" t="n">
        <x:f>Inputs!$B$5</x:f>
        <x:v>18</x:v>
      </x:c>
      <x:c r="E11" s="102" t="n">
        <x:f>C11*D11/60</x:f>
        <x:v>2179.3371600000005</x:v>
      </x:c>
      <x:c r="F11" s="102" t="n">
        <x:f>E11/Inputs!$B$6/Inputs!$B$7</x:f>
        <x:v>87.31318750000001</x:v>
      </x:c>
      <x:c r="G11" s="102" t="n">
        <x:v>84</x:v>
      </x:c>
      <x:c r="H11" s="102" t="n">
        <x:f>G11-F11</x:f>
        <x:v>-3.313187500000012</x:v>
      </x:c>
      <x:c r="I11" s="104" t="n">
        <x:f>F11/G11</x:f>
        <x:v>1.0394427083333335</x:v>
      </x:c>
      <x:c r="J11" t="str">
        <x:f>IF(H11&lt;0,"High",IF(I11&gt;0.90,"Medium","Low"))</x:f>
        <x:v>High</x:v>
      </x:c>
      <x:c r="K11" t="str">
        <x:f>IF(J11="High","Add flex capacity / overtime",IF(J11="Medium","Monitor daily queue", "Maintain plan"))</x:f>
        <x:v>Add flex capacity / overtime</x:v>
      </x:c>
      <x:c r="L11" t="str">
        <x:v>Workforce Planning</x:v>
      </x:c>
    </x:row>
    <x:row r="12">
      <x:c r="A12" s="94" t="n">
        <x:v>46202</x:v>
      </x:c>
      <x:c r="B12" t="str">
        <x:v>Base</x:v>
      </x:c>
      <x:c r="C12" s="96" t="n">
        <x:f>Forecast_Model!G12</x:f>
        <x:v>7184.628000000001</x:v>
      </x:c>
      <x:c r="D12" s="100" t="n">
        <x:f>Inputs!$B$5</x:f>
        <x:v>18</x:v>
      </x:c>
      <x:c r="E12" s="102" t="n">
        <x:f>C12*D12/60</x:f>
        <x:v>2155.3884000000003</x:v>
      </x:c>
      <x:c r="F12" s="102" t="n">
        <x:f>E12/Inputs!$B$6/Inputs!$B$7</x:f>
        <x:v>86.35370192307693</x:v>
      </x:c>
      <x:c r="G12" s="102" t="n">
        <x:v>84</x:v>
      </x:c>
      <x:c r="H12" s="102" t="n">
        <x:f>G12-F12</x:f>
        <x:v>-2.353701923076926</x:v>
      </x:c>
      <x:c r="I12" s="104" t="n">
        <x:f>F12/G12</x:f>
        <x:v>1.028020260989011</x:v>
      </x:c>
      <x:c r="J12" t="str">
        <x:f>IF(H12&lt;0,"High",IF(I12&gt;0.90,"Medium","Low"))</x:f>
        <x:v>High</x:v>
      </x:c>
      <x:c r="K12" t="str">
        <x:f>IF(J12="High","Add flex capacity / overtime",IF(J12="Medium","Monitor daily queue", "Maintain plan"))</x:f>
        <x:v>Add flex capacity / overtime</x:v>
      </x:c>
      <x:c r="L12" t="str">
        <x:v>Workforce Planning</x:v>
      </x:c>
    </x:row>
    <x:row r="13">
      <x:c r="A13" s="94" t="n">
        <x:v>46209</x:v>
      </x:c>
      <x:c r="B13" t="str">
        <x:v>Base</x:v>
      </x:c>
      <x:c r="C13" s="96" t="n">
        <x:f>Forecast_Model!G13</x:f>
        <x:v>7184.628000000001</x:v>
      </x:c>
      <x:c r="D13" s="100" t="n">
        <x:f>Inputs!$B$5</x:f>
        <x:v>18</x:v>
      </x:c>
      <x:c r="E13" s="102" t="n">
        <x:f>C13*D13/60</x:f>
        <x:v>2155.3884000000003</x:v>
      </x:c>
      <x:c r="F13" s="102" t="n">
        <x:f>E13/Inputs!$B$6/Inputs!$B$7</x:f>
        <x:v>86.35370192307693</x:v>
      </x:c>
      <x:c r="G13" s="102" t="n">
        <x:v>86</x:v>
      </x:c>
      <x:c r="H13" s="102" t="n">
        <x:f>G13-F13</x:f>
        <x:v>-0.35370192307692605</x:v>
      </x:c>
      <x:c r="I13" s="104" t="n">
        <x:f>F13/G13</x:f>
        <x:v>1.004112813059034</x:v>
      </x:c>
      <x:c r="J13" t="str">
        <x:f>IF(H13&lt;0,"High",IF(I13&gt;0.90,"Medium","Low"))</x:f>
        <x:v>High</x:v>
      </x:c>
      <x:c r="K13" t="str">
        <x:f>IF(J13="High","Add flex capacity / overtime",IF(J13="Medium","Monitor daily queue", "Maintain plan"))</x:f>
        <x:v>Add flex capacity / overtime</x:v>
      </x:c>
      <x:c r="L13" t="str">
        <x:v>Workforce Planning</x:v>
      </x:c>
    </x:row>
    <x:row r="14">
      <x:c r="A14" s="94" t="n">
        <x:v>46216</x:v>
      </x:c>
      <x:c r="B14" t="str">
        <x:v>Base</x:v>
      </x:c>
      <x:c r="C14" s="96" t="n">
        <x:f>Forecast_Model!G14</x:f>
        <x:v>7184.628000000001</x:v>
      </x:c>
      <x:c r="D14" s="100" t="n">
        <x:f>Inputs!$B$5</x:f>
        <x:v>18</x:v>
      </x:c>
      <x:c r="E14" s="102" t="n">
        <x:f>C14*D14/60</x:f>
        <x:v>2155.3884000000003</x:v>
      </x:c>
      <x:c r="F14" s="102" t="n">
        <x:f>E14/Inputs!$B$6/Inputs!$B$7</x:f>
        <x:v>86.35370192307693</x:v>
      </x:c>
      <x:c r="G14" s="102" t="n">
        <x:v>86</x:v>
      </x:c>
      <x:c r="H14" s="102" t="n">
        <x:f>G14-F14</x:f>
        <x:v>-0.35370192307692605</x:v>
      </x:c>
      <x:c r="I14" s="104" t="n">
        <x:f>F14/G14</x:f>
        <x:v>1.004112813059034</x:v>
      </x:c>
      <x:c r="J14" t="str">
        <x:f>IF(H14&lt;0,"High",IF(I14&gt;0.90,"Medium","Low"))</x:f>
        <x:v>High</x:v>
      </x:c>
      <x:c r="K14" t="str">
        <x:f>IF(J14="High","Add flex capacity / overtime",IF(J14="Medium","Monitor daily queue", "Maintain plan"))</x:f>
        <x:v>Add flex capacity / overtime</x:v>
      </x:c>
      <x:c r="L14" t="str">
        <x:v>Workforce Planning</x:v>
      </x:c>
    </x:row>
    <x:row r="15">
      <x:c r="A15" s="94" t="n">
        <x:v>46223</x:v>
      </x:c>
      <x:c r="B15" t="str">
        <x:v>Base</x:v>
      </x:c>
      <x:c r="C15" s="96" t="n">
        <x:f>Forecast_Model!G15</x:f>
        <x:v>7264.457200000001</x:v>
      </x:c>
      <x:c r="D15" s="100" t="n">
        <x:f>Inputs!$B$5</x:f>
        <x:v>18</x:v>
      </x:c>
      <x:c r="E15" s="102" t="n">
        <x:f>C15*D15/60</x:f>
        <x:v>2179.3371600000005</x:v>
      </x:c>
      <x:c r="F15" s="102" t="n">
        <x:f>E15/Inputs!$B$6/Inputs!$B$7</x:f>
        <x:v>87.31318750000001</x:v>
      </x:c>
      <x:c r="G15" s="102" t="n">
        <x:v>86</x:v>
      </x:c>
      <x:c r="H15" s="102" t="n">
        <x:f>G15-F15</x:f>
        <x:v>-1.3131875000000122</x:v>
      </x:c>
      <x:c r="I15" s="104" t="n">
        <x:f>F15/G15</x:f>
        <x:v>1.0152696220930233</x:v>
      </x:c>
      <x:c r="J15" t="str">
        <x:f>IF(H15&lt;0,"High",IF(I15&gt;0.90,"Medium","Low"))</x:f>
        <x:v>High</x:v>
      </x:c>
      <x:c r="K15" t="str">
        <x:f>IF(J15="High","Add flex capacity / overtime",IF(J15="Medium","Monitor daily queue", "Maintain plan"))</x:f>
        <x:v>Add flex capacity / overtime</x:v>
      </x:c>
      <x:c r="L15" t="str">
        <x:v>Workforce Planning</x:v>
      </x:c>
    </x:row>
    <x:row r="16">
      <x:c r="A16" s="94" t="n">
        <x:v>46230</x:v>
      </x:c>
      <x:c r="B16" t="str">
        <x:v>Base</x:v>
      </x:c>
      <x:c r="C16" s="96" t="n">
        <x:f>Forecast_Model!G16</x:f>
        <x:v>7424.115600000001</x:v>
      </x:c>
      <x:c r="D16" s="100" t="n">
        <x:f>Inputs!$B$5</x:f>
        <x:v>18</x:v>
      </x:c>
      <x:c r="E16" s="102" t="n">
        <x:f>C16*D16/60</x:f>
        <x:v>2227.2346800000005</x:v>
      </x:c>
      <x:c r="F16" s="102" t="n">
        <x:f>E16/Inputs!$B$6/Inputs!$B$7</x:f>
        <x:v>89.23215865384617</x:v>
      </x:c>
      <x:c r="G16" s="102" t="n">
        <x:v>88</x:v>
      </x:c>
      <x:c r="H16" s="102" t="n">
        <x:f>G16-F16</x:f>
        <x:v>-1.2321586538461702</x:v>
      </x:c>
      <x:c r="I16" s="104" t="n">
        <x:f>F16/G16</x:f>
        <x:v>1.0140018028846156</x:v>
      </x:c>
      <x:c r="J16" t="str">
        <x:f>IF(H16&lt;0,"High",IF(I16&gt;0.90,"Medium","Low"))</x:f>
        <x:v>High</x:v>
      </x:c>
      <x:c r="K16" t="str">
        <x:f>IF(J16="High","Add flex capacity / overtime",IF(J16="Medium","Monitor daily queue", "Maintain plan"))</x:f>
        <x:v>Add flex capacity / overtime</x:v>
      </x:c>
      <x:c r="L16" t="str">
        <x:v>Workforce Planning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7c3ca9498e7430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28" customHeight="1">
      <x:c r="A1" s="5" t="str">
        <x:v>SLA Risk and Staffing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3" t="str">
        <x:v>Demand forecast, staffing gaps and operational action view.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24" customHeight="1">
      <x:c r="A4" s="22" t="str">
        <x:v>KPI</x:v>
      </x:c>
      <x:c r="B4" s="22" t="str">
        <x:v>Value</x:v>
      </x:c>
      <x:c r="C4" s="22" t="str">
        <x:v>Target / Rule</x:v>
      </x:c>
      <x:c r="D4" s="22" t="str">
        <x:v>Status</x:v>
      </x:c>
      <x:c r="F4" s="22" t="str">
        <x:v>Week</x:v>
      </x:c>
      <x:c r="G4" s="22" t="str">
        <x:v>Forecast Cases</x:v>
      </x:c>
      <x:c r="H4" s="22" t="str">
        <x:v>Required FTE</x:v>
      </x:c>
      <x:c r="I4" s="22" t="str">
        <x:v>Current FTE</x:v>
      </x:c>
      <x:c r="J4" s="22" t="str">
        <x:v>Gap</x:v>
      </x:c>
      <x:c r="K4" s="22" t="str">
        <x:v>Risk</x:v>
      </x:c>
    </x:row>
    <x:row r="5">
      <x:c r="A5" s="52" t="str">
        <x:v>Avg Forecast Cases</x:v>
      </x:c>
      <x:c r="B5" s="106" t="n">
        <x:f>AVERAGE(Forecast_Model!G5:G16)</x:f>
        <x:v>7550.511833333334</x:v>
      </x:c>
      <x:c r="C5" s="53" t="str"/>
      <x:c r="D5" s="54"/>
      <x:c r="F5" s="114" t="n">
        <x:f>Capacity_Plan!A5</x:f>
        <x:v>46153</x:v>
      </x:c>
      <x:c r="G5" s="115" t="n">
        <x:f>Capacity_Plan!C5</x:f>
        <x:v>8302.2368</x:v>
      </x:c>
      <x:c r="H5" s="116" t="n">
        <x:f>Capacity_Plan!F5</x:f>
        <x:v>99.7865</x:v>
      </x:c>
      <x:c r="I5" s="116" t="n">
        <x:f>Capacity_Plan!G5</x:f>
        <x:v>78</x:v>
      </x:c>
      <x:c r="J5" s="116" t="n">
        <x:f>Capacity_Plan!H5</x:f>
        <x:v>-21.786500000000004</x:v>
      </x:c>
      <x:c r="K5" s="36" t="str">
        <x:f>Capacity_Plan!J5</x:f>
        <x:v>High</x:v>
      </x:c>
    </x:row>
    <x:row r="6">
      <x:c r="A6" s="55" t="str">
        <x:v>Peak Forecast Cases</x:v>
      </x:c>
      <x:c r="B6" s="107" t="n">
        <x:f>MAX(Forecast_Model!G5:G16)</x:f>
        <x:v>8302.2368</x:v>
      </x:c>
      <x:c r="C6" s="56" t="str"/>
      <x:c r="D6" s="57"/>
      <x:c r="F6" s="117" t="n">
        <x:f>Capacity_Plan!A6</x:f>
        <x:v>46160</x:v>
      </x:c>
      <x:c r="G6" s="118" t="n">
        <x:f>Capacity_Plan!C6</x:f>
        <x:v>8142.5784</x:v>
      </x:c>
      <x:c r="H6" s="119" t="n">
        <x:f>Capacity_Plan!F6</x:f>
        <x:v>97.86752884615385</x:v>
      </x:c>
      <x:c r="I6" s="119" t="n">
        <x:f>Capacity_Plan!G6</x:f>
        <x:v>80</x:v>
      </x:c>
      <x:c r="J6" s="119" t="n">
        <x:f>Capacity_Plan!H6</x:f>
        <x:v>-17.867528846153846</x:v>
      </x:c>
      <x:c r="K6" s="39" t="str">
        <x:f>Capacity_Plan!J6</x:f>
        <x:v>High</x:v>
      </x:c>
    </x:row>
    <x:row r="7">
      <x:c r="A7" s="55" t="str">
        <x:v>Avg Required FTE</x:v>
      </x:c>
      <x:c r="B7" s="110" t="n">
        <x:f>AVERAGE(Capacity_Plan!F5:F16)</x:f>
        <x:v>90.75134415064103</x:v>
      </x:c>
      <x:c r="C7" s="56" t="str"/>
      <x:c r="D7" s="57"/>
      <x:c r="F7" s="117" t="n">
        <x:f>Capacity_Plan!A7</x:f>
        <x:v>46167</x:v>
      </x:c>
      <x:c r="G7" s="118" t="n">
        <x:f>Capacity_Plan!C7</x:f>
        <x:v>7903.0908</x:v>
      </x:c>
      <x:c r="H7" s="119" t="n">
        <x:f>Capacity_Plan!F7</x:f>
        <x:v>94.98907211538462</x:v>
      </x:c>
      <x:c r="I7" s="119" t="n">
        <x:f>Capacity_Plan!G7</x:f>
        <x:v>82</x:v>
      </x:c>
      <x:c r="J7" s="119" t="n">
        <x:f>Capacity_Plan!H7</x:f>
        <x:v>-12.989072115384616</x:v>
      </x:c>
      <x:c r="K7" s="39" t="str">
        <x:f>Capacity_Plan!J7</x:f>
        <x:v>High</x:v>
      </x:c>
    </x:row>
    <x:row r="8">
      <x:c r="A8" s="55" t="str">
        <x:v>Avg Current FTE</x:v>
      </x:c>
      <x:c r="B8" s="110" t="n">
        <x:f>AVERAGE(Capacity_Plan!G5:G16)</x:f>
        <x:v>83.5</x:v>
      </x:c>
      <x:c r="C8" s="56" t="str"/>
      <x:c r="D8" s="57"/>
      <x:c r="F8" s="117" t="n">
        <x:f>Capacity_Plan!A8</x:f>
        <x:v>46174</x:v>
      </x:c>
      <x:c r="G8" s="118" t="n">
        <x:f>Capacity_Plan!C8</x:f>
        <x:v>7743.4324</x:v>
      </x:c>
      <x:c r="H8" s="119" t="n">
        <x:f>Capacity_Plan!F8</x:f>
        <x:v>93.07010096153846</x:v>
      </x:c>
      <x:c r="I8" s="119" t="n">
        <x:f>Capacity_Plan!G8</x:f>
        <x:v>82</x:v>
      </x:c>
      <x:c r="J8" s="119" t="n">
        <x:f>Capacity_Plan!H8</x:f>
        <x:v>-11.070100961538458</x:v>
      </x:c>
      <x:c r="K8" s="39" t="str">
        <x:f>Capacity_Plan!J8</x:f>
        <x:v>High</x:v>
      </x:c>
    </x:row>
    <x:row r="9">
      <x:c r="A9" s="55" t="str">
        <x:v>Weeks with High SLA Risk</x:v>
      </x:c>
      <x:c r="B9" s="112" t="n">
        <x:f>COUNTIF(Capacity_Plan!J5:J16,"High")</x:f>
        <x:v>12</x:v>
      </x:c>
      <x:c r="C9" s="56" t="str">
        <x:v>0</x:v>
      </x:c>
      <x:c r="D9" s="57" t="str">
        <x:f>IF(B9=0,"Green","Red")</x:f>
        <x:v>Red</x:v>
      </x:c>
      <x:c r="F9" s="117" t="n">
        <x:f>Capacity_Plan!A9</x:f>
        <x:v>46181</x:v>
      </x:c>
      <x:c r="G9" s="118" t="n">
        <x:f>Capacity_Plan!C9</x:f>
        <x:v>7583.773999999999</x:v>
      </x:c>
      <x:c r="H9" s="119" t="n">
        <x:f>Capacity_Plan!F9</x:f>
        <x:v>91.1511298076923</x:v>
      </x:c>
      <x:c r="I9" s="119" t="n">
        <x:f>Capacity_Plan!G9</x:f>
        <x:v>82</x:v>
      </x:c>
      <x:c r="J9" s="119" t="n">
        <x:f>Capacity_Plan!H9</x:f>
        <x:v>-9.1511298076923</x:v>
      </x:c>
      <x:c r="K9" s="39" t="str">
        <x:f>Capacity_Plan!J9</x:f>
        <x:v>High</x:v>
      </x:c>
    </x:row>
    <x:row r="10">
      <x:c r="A10" s="58" t="str">
        <x:v>Avg Utilization</x:v>
      </x:c>
      <x:c r="B10" s="92" t="n">
        <x:f>AVERAGE(Capacity_Plan!I5:I16)</x:f>
        <x:v>1.0895757941913236</x:v>
      </x:c>
      <x:c r="C10" s="59" t="str">
        <x:v>70-85%</x:v>
      </x:c>
      <x:c r="D10" s="60" t="str">
        <x:f>IF(AND(B10&gt;=70%,B10&lt;=85%),"Green","Check")</x:f>
        <x:v>Check</x:v>
      </x:c>
      <x:c r="F10" s="117" t="n">
        <x:f>Capacity_Plan!A10</x:f>
        <x:v>46188</x:v>
      </x:c>
      <x:c r="G10" s="118" t="n">
        <x:f>Capacity_Plan!C10</x:f>
        <x:v>7424.115600000001</x:v>
      </x:c>
      <x:c r="H10" s="119" t="n">
        <x:f>Capacity_Plan!F10</x:f>
        <x:v>89.23215865384617</x:v>
      </x:c>
      <x:c r="I10" s="119" t="n">
        <x:f>Capacity_Plan!G10</x:f>
        <x:v>84</x:v>
      </x:c>
      <x:c r="J10" s="119" t="n">
        <x:f>Capacity_Plan!H10</x:f>
        <x:v>-5.23215865384617</x:v>
      </x:c>
      <x:c r="K10" s="39" t="str">
        <x:f>Capacity_Plan!J10</x:f>
        <x:v>High</x:v>
      </x:c>
    </x:row>
    <x:row r="11">
      <x:c r="F11" s="117" t="n">
        <x:f>Capacity_Plan!A11</x:f>
        <x:v>46195</x:v>
      </x:c>
      <x:c r="G11" s="118" t="n">
        <x:f>Capacity_Plan!C11</x:f>
        <x:v>7264.457200000001</x:v>
      </x:c>
      <x:c r="H11" s="119" t="n">
        <x:f>Capacity_Plan!F11</x:f>
        <x:v>87.31318750000001</x:v>
      </x:c>
      <x:c r="I11" s="119" t="n">
        <x:f>Capacity_Plan!G11</x:f>
        <x:v>84</x:v>
      </x:c>
      <x:c r="J11" s="119" t="n">
        <x:f>Capacity_Plan!H11</x:f>
        <x:v>-3.313187500000012</x:v>
      </x:c>
      <x:c r="K11" s="39" t="str">
        <x:f>Capacity_Plan!J11</x:f>
        <x:v>High</x:v>
      </x:c>
    </x:row>
    <x:row r="12">
      <x:c r="F12" s="117" t="n">
        <x:f>Capacity_Plan!A12</x:f>
        <x:v>46202</x:v>
      </x:c>
      <x:c r="G12" s="118" t="n">
        <x:f>Capacity_Plan!C12</x:f>
        <x:v>7184.628000000001</x:v>
      </x:c>
      <x:c r="H12" s="119" t="n">
        <x:f>Capacity_Plan!F12</x:f>
        <x:v>86.35370192307693</x:v>
      </x:c>
      <x:c r="I12" s="119" t="n">
        <x:f>Capacity_Plan!G12</x:f>
        <x:v>84</x:v>
      </x:c>
      <x:c r="J12" s="119" t="n">
        <x:f>Capacity_Plan!H12</x:f>
        <x:v>-2.353701923076926</x:v>
      </x:c>
      <x:c r="K12" s="39" t="str">
        <x:f>Capacity_Plan!J12</x:f>
        <x:v>High</x:v>
      </x:c>
    </x:row>
    <x:row r="13">
      <x:c r="F13" s="117" t="n">
        <x:f>Capacity_Plan!A13</x:f>
        <x:v>46209</x:v>
      </x:c>
      <x:c r="G13" s="118" t="n">
        <x:f>Capacity_Plan!C13</x:f>
        <x:v>7184.628000000001</x:v>
      </x:c>
      <x:c r="H13" s="119" t="n">
        <x:f>Capacity_Plan!F13</x:f>
        <x:v>86.35370192307693</x:v>
      </x:c>
      <x:c r="I13" s="119" t="n">
        <x:f>Capacity_Plan!G13</x:f>
        <x:v>86</x:v>
      </x:c>
      <x:c r="J13" s="119" t="n">
        <x:f>Capacity_Plan!H13</x:f>
        <x:v>-0.35370192307692605</x:v>
      </x:c>
      <x:c r="K13" s="39" t="str">
        <x:f>Capacity_Plan!J13</x:f>
        <x:v>High</x:v>
      </x:c>
    </x:row>
    <x:row r="14">
      <x:c r="F14" s="117" t="n">
        <x:f>Capacity_Plan!A14</x:f>
        <x:v>46216</x:v>
      </x:c>
      <x:c r="G14" s="118" t="n">
        <x:f>Capacity_Plan!C14</x:f>
        <x:v>7184.628000000001</x:v>
      </x:c>
      <x:c r="H14" s="119" t="n">
        <x:f>Capacity_Plan!F14</x:f>
        <x:v>86.35370192307693</x:v>
      </x:c>
      <x:c r="I14" s="119" t="n">
        <x:f>Capacity_Plan!G14</x:f>
        <x:v>86</x:v>
      </x:c>
      <x:c r="J14" s="119" t="n">
        <x:f>Capacity_Plan!H14</x:f>
        <x:v>-0.35370192307692605</x:v>
      </x:c>
      <x:c r="K14" s="39" t="str">
        <x:f>Capacity_Plan!J14</x:f>
        <x:v>High</x:v>
      </x:c>
    </x:row>
    <x:row r="15">
      <x:c r="F15" s="117" t="n">
        <x:f>Capacity_Plan!A15</x:f>
        <x:v>46223</x:v>
      </x:c>
      <x:c r="G15" s="118" t="n">
        <x:f>Capacity_Plan!C15</x:f>
        <x:v>7264.457200000001</x:v>
      </x:c>
      <x:c r="H15" s="119" t="n">
        <x:f>Capacity_Plan!F15</x:f>
        <x:v>87.31318750000001</x:v>
      </x:c>
      <x:c r="I15" s="119" t="n">
        <x:f>Capacity_Plan!G15</x:f>
        <x:v>86</x:v>
      </x:c>
      <x:c r="J15" s="119" t="n">
        <x:f>Capacity_Plan!H15</x:f>
        <x:v>-1.3131875000000122</x:v>
      </x:c>
      <x:c r="K15" s="39" t="str">
        <x:f>Capacity_Plan!J15</x:f>
        <x:v>High</x:v>
      </x:c>
    </x:row>
    <x:row r="16">
      <x:c r="F16" s="120" t="n">
        <x:f>Capacity_Plan!A16</x:f>
        <x:v>46230</x:v>
      </x:c>
      <x:c r="G16" s="121" t="n">
        <x:f>Capacity_Plan!C16</x:f>
        <x:v>7424.115600000001</x:v>
      </x:c>
      <x:c r="H16" s="122" t="n">
        <x:f>Capacity_Plan!F16</x:f>
        <x:v>89.23215865384617</x:v>
      </x:c>
      <x:c r="I16" s="122" t="n">
        <x:f>Capacity_Plan!G16</x:f>
        <x:v>88</x:v>
      </x:c>
      <x:c r="J16" s="122" t="n">
        <x:f>Capacity_Plan!H16</x:f>
        <x:v>-1.2321586538461702</x:v>
      </x:c>
      <x:c r="K16" s="42" t="str">
        <x:f>Capacity_Plan!J16</x:f>
        <x:v>High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85d540c920be4dc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5" hidden="0" customWidth="1"/>
    <x:col min="3" max="3" width="22" hidden="0" customWidth="1"/>
    <x:col min="4" max="4" width="16" hidden="0" customWidth="1"/>
    <x:col min="5" max="5" width="22" hidden="0" customWidth="1"/>
    <x:col min="6" max="6" width="18" hidden="0" customWidth="1"/>
    <x:col min="7" max="7" width="22" hidden="0" customWidth="1"/>
    <x:col min="8" max="8" width="18" hidden="0" customWidth="1"/>
  </x:cols>
  <x:sheetData>
    <x:row r="1" ht="28" customHeight="1">
      <x:c r="A1" s="5" t="str">
        <x:v>Staffing and Automation Action Plan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3" t="str">
        <x:v>Actions triggered by forecast and capacity gaps.</x:v>
      </x:c>
      <x:c r="B2" s="13"/>
      <x:c r="C2" s="13"/>
      <x:c r="D2" s="13"/>
      <x:c r="E2" s="13"/>
      <x:c r="F2" s="13"/>
      <x:c r="G2" s="13"/>
      <x:c r="H2" s="13"/>
    </x:row>
    <x:row r="4" ht="24" customHeight="1">
      <x:c r="A4" s="22" t="str">
        <x:v>Trigger</x:v>
      </x:c>
      <x:c r="B4" s="22" t="str">
        <x:v>Action</x:v>
      </x:c>
      <x:c r="C4" s="22" t="str">
        <x:v>Owner</x:v>
      </x:c>
      <x:c r="D4" s="22" t="str">
        <x:v>Lead Time</x:v>
      </x:c>
      <x:c r="E4" s="22" t="str">
        <x:v>Metric</x:v>
      </x:c>
      <x:c r="F4" s="22" t="str">
        <x:v>Expected Impact</x:v>
      </x:c>
      <x:c r="G4" s="22" t="str">
        <x:v>Risk Reduced</x:v>
      </x:c>
      <x:c r="H4" s="22" t="str">
        <x:v>Status</x:v>
      </x:c>
    </x:row>
    <x:row r="5">
      <x:c r="A5" s="52" t="str">
        <x:v>Forecast &gt; current capacity</x:v>
      </x:c>
      <x:c r="B5" s="53" t="str">
        <x:v>Activate flex pool / overtime roster</x:v>
      </x:c>
      <x:c r="C5" s="53" t="str">
        <x:v>Workforce Lead</x:v>
      </x:c>
      <x:c r="D5" s="53" t="str">
        <x:v>1 week</x:v>
      </x:c>
      <x:c r="E5" s="53" t="str">
        <x:v>FTE gap</x:v>
      </x:c>
      <x:c r="F5" s="53" t="str">
        <x:v>High</x:v>
      </x:c>
      <x:c r="G5" s="53" t="str">
        <x:v>SLA breach</x:v>
      </x:c>
      <x:c r="H5" s="54" t="str">
        <x:v>Not Started</x:v>
      </x:c>
    </x:row>
    <x:row r="6">
      <x:c r="A6" s="55" t="str">
        <x:v>Utilization &gt; 85%</x:v>
      </x:c>
      <x:c r="B6" s="56" t="str">
        <x:v>Shift low-priority work to off-peak / cross-train team</x:v>
      </x:c>
      <x:c r="C6" s="56" t="str">
        <x:v>Ops Manager</x:v>
      </x:c>
      <x:c r="D6" s="56" t="str">
        <x:v>2 weeks</x:v>
      </x:c>
      <x:c r="E6" s="56" t="str">
        <x:v>Utilization</x:v>
      </x:c>
      <x:c r="F6" s="56" t="str">
        <x:v>Medium</x:v>
      </x:c>
      <x:c r="G6" s="56" t="str">
        <x:v>Burnout/TAT</x:v>
      </x:c>
      <x:c r="H6" s="57" t="str">
        <x:v>Not Started</x:v>
      </x:c>
    </x:row>
    <x:row r="7">
      <x:c r="A7" s="55" t="str">
        <x:v>Demand spike from campaign</x:v>
      </x:c>
      <x:c r="B7" s="56" t="str">
        <x:v>Pre-align campaign calendar with ops staffing</x:v>
      </x:c>
      <x:c r="C7" s="56" t="str">
        <x:v>Growth + Ops</x:v>
      </x:c>
      <x:c r="D7" s="56" t="str">
        <x:v>2 weeks</x:v>
      </x:c>
      <x:c r="E7" s="56" t="str">
        <x:v>Peak load</x:v>
      </x:c>
      <x:c r="F7" s="56" t="str">
        <x:v>High</x:v>
      </x:c>
      <x:c r="G7" s="56" t="str">
        <x:v>Backlog spike</x:v>
      </x:c>
      <x:c r="H7" s="57" t="str">
        <x:v>Not Started</x:v>
      </x:c>
    </x:row>
    <x:row r="8">
      <x:c r="A8" s="55" t="str">
        <x:v>Repeated volume in same queue</x:v>
      </x:c>
      <x:c r="B8" s="56" t="str">
        <x:v>Automate top deflectable case categories</x:v>
      </x:c>
      <x:c r="C8" s="56" t="str">
        <x:v>Automation Lead</x:v>
      </x:c>
      <x:c r="D8" s="56" t="str">
        <x:v>4-6 weeks</x:v>
      </x:c>
      <x:c r="E8" s="56" t="str">
        <x:v>Manual case volume</x:v>
      </x:c>
      <x:c r="F8" s="56" t="str">
        <x:v>High</x:v>
      </x:c>
      <x:c r="G8" s="56" t="str">
        <x:v>Manual workload</x:v>
      </x:c>
      <x:c r="H8" s="57" t="str">
        <x:v>Not Started</x:v>
      </x:c>
    </x:row>
    <x:row r="9">
      <x:c r="A9" s="58" t="str">
        <x:v>Forecast error &gt; threshold</x:v>
      </x:c>
      <x:c r="B9" s="59" t="str">
        <x:v>Refresh model with latest 8 weeks + event calendar</x:v>
      </x:c>
      <x:c r="C9" s="59" t="str">
        <x:v>BA</x:v>
      </x:c>
      <x:c r="D9" s="59" t="str">
        <x:v>1 week</x:v>
      </x:c>
      <x:c r="E9" s="59" t="str">
        <x:v>MAPE/error</x:v>
      </x:c>
      <x:c r="F9" s="59" t="str">
        <x:v>Medium</x:v>
      </x:c>
      <x:c r="G9" s="59" t="str">
        <x:v>Bad staffing plan</x:v>
      </x:c>
      <x:c r="H9" s="60" t="str">
        <x:v>Not Started</x:v>
      </x:c>
    </x:row>
  </x:sheetData>
  <x:mergeCells>
    <x:mergeCell ref="A1:H1"/>
    <x:mergeCell ref="A2:H2"/>
  </x:mergeCells>
  <x:dataValidations count="1">
    <x:dataValidation type="list" sqref="H5:H9">
      <x:formula1>"Not Started,In Progress,Done,Blocked"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70" hidden="0" customWidth="1"/>
    <x:col min="4" max="4" width="55" hidden="0" customWidth="1"/>
  </x:cols>
  <x:sheetData>
    <x:row r="1" ht="28" customHeight="1">
      <x:c r="A1" s="5" t="str">
        <x:v>Sources and Notes</x:v>
      </x:c>
      <x:c r="B1" s="5"/>
      <x:c r="C1" s="5"/>
      <x:c r="D1" s="5"/>
    </x:row>
    <x:row r="2" ht="22" customHeight="1">
      <x:c r="A2" s="13" t="str">
        <x:v>Plain-text URLs are included for auditability. Project data is synthetic and safe for portfolio/GitHub use.</x:v>
      </x:c>
      <x:c r="B2" s="13"/>
      <x:c r="C2" s="13"/>
      <x:c r="D2" s="13"/>
    </x:row>
    <x:row r="4" ht="24" customHeight="1">
      <x:c r="A4" s="22" t="str">
        <x:v>Area</x:v>
      </x:c>
      <x:c r="B4" s="22" t="str">
        <x:v>Source / Description</x:v>
      </x:c>
      <x:c r="C4" s="22" t="str">
        <x:v>URL</x:v>
      </x:c>
      <x:c r="D4" s="22" t="str">
        <x:v>How used in this workbook</x:v>
      </x:c>
    </x:row>
    <x:row r="5">
      <x:c r="A5" s="52" t="str">
        <x:v>Capacity planning</x:v>
      </x:c>
      <x:c r="B5" s="53" t="str">
        <x:v>Microsoft Dynamics 365 Contact Center capacity planning</x:v>
      </x:c>
      <x:c r="C5" s="53" t="str">
        <x:v>https://learn.microsoft.com/en-us/dynamics365/release-plan/2025wave1/service/dynamics365-contact-center/use-capacity-planning-predict-staffing-needs</x:v>
      </x:c>
      <x:c r="D5" s="54" t="str">
        <x:v>Used for short/long-term staffing, scenario analysis, channel/queue planning framing.</x:v>
      </x:c>
    </x:row>
    <x:row r="6">
      <x:c r="A6" s="55" t="str">
        <x:v>Workforce planning</x:v>
      </x:c>
      <x:c r="B6" s="56" t="str">
        <x:v>Workforce capacity planning guide</x:v>
      </x:c>
      <x:c r="C6" s="56" t="str">
        <x:v>https://workinsync.io/blog/workforce-capacity-planning</x:v>
      </x:c>
      <x:c r="D6" s="57" t="str">
        <x:v>Used for demand/supply alignment, utilization and bottleneck framing.</x:v>
      </x:c>
    </x:row>
    <x:row r="7">
      <x:c r="A7" s="58" t="str">
        <x:v>Forecasting</x:v>
      </x:c>
      <x:c r="B7" s="59" t="str">
        <x:v>Workforce demand forecasting guide</x:v>
      </x:c>
      <x:c r="C7" s="59" t="str">
        <x:v>https://mihcm.com/resources/blog/the-complete-guide-to-workforce-demand-forecasting/</x:v>
      </x:c>
      <x:c r="D7" s="60" t="str">
        <x:v>Used for embedding forecasts into staffing and budget planning.</x:v>
      </x:c>
    </x:row>
  </x:sheetData>
  <x:mergeCells>
    <x:mergeCell ref="A1:D1"/>
    <x:mergeCell ref="A2:D2"/>
  </x:mergeCells>
  <x:pageMargins left="0.7" right="0.7" top="0.75" bottom="0.75" header="0.3" footer="0.3"/>
</x:worksheet>
</file>