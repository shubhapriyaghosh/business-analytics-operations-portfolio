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818892e514b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4a36dba0edf4140"/>
    <x:sheet xmlns:r="http://schemas.openxmlformats.org/officeDocument/2006/relationships" name="Rules" sheetId="2" r:id="R05c8c6ecce984f6d"/>
    <x:sheet xmlns:r="http://schemas.openxmlformats.org/officeDocument/2006/relationships" name="Transactions" sheetId="3" r:id="R9cfd1a1fd05042d5"/>
    <x:sheet xmlns:r="http://schemas.openxmlformats.org/officeDocument/2006/relationships" name="Exception_Dashboard" sheetId="4" r:id="R5ae475308e1a4c51"/>
    <x:sheet xmlns:r="http://schemas.openxmlformats.org/officeDocument/2006/relationships" name="Controls_Matrix" sheetId="5" r:id="Reb8bc8a7ac0249a0"/>
    <x:sheet xmlns:r="http://schemas.openxmlformats.org/officeDocument/2006/relationships" name="Action_Tracker" sheetId="6" r:id="Re1d099ac46374954"/>
    <x:sheet xmlns:r="http://schemas.openxmlformats.org/officeDocument/2006/relationships" name="Sources" sheetId="7" r:id="Rb8970e05e95349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₹#,##0"/>
    <x:numFmt numFmtId="202" formatCode="0.0%"/>
  </x:numFmts>
  <x:fonts count="5">
    <x:font>
      <x:sz val="11"/>
      <x:name val="Carlito"/>
    </x:font>
    <x:font>
      <x:b/>
      <x:sz val="14"/>
      <x:color rgb="FFFFFF"/>
      <x:name val="Carlito"/>
    </x:font>
    <x:font>
      <x:i/>
      <x:sz val="10"/>
      <x:color rgb="475569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1D4ED8"/>
      </x:patternFill>
    </x:fill>
    <x:fill>
      <x:patternFill patternType="solid">
        <x:fgColor rgb="E0F2FE"/>
      </x:patternFill>
    </x:fill>
  </x:fills>
  <x:borders count="20">
    <x:border/>
    <x:border/>
    <x:border>
      <x:right>
        <x:color rgb="CBD5E1"/>
      </x:right>
      <x:bottom>
        <x:color rgb="CBD5E1"/>
      </x:bottom>
    </x:border>
    <x:border>
      <x:left>
        <x:color rgb="CBD5E1"/>
      </x:left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  <x:border>
      <x:right>
        <x:color rgb="CBD5E1"/>
      </x:right>
      <x:bottom>
        <x:color rgb="CBD5E1"/>
      </x:bottom>
    </x:border>
    <x:border>
      <x:left>
        <x:color rgb="CBD5E1"/>
      </x:left>
      <x:right>
        <x:color rgb="CBD5E1"/>
      </x:right>
      <x:bottom>
        <x:color rgb="CBD5E1"/>
      </x:bottom>
    </x:border>
    <x:border>
      <x:left>
        <x:color rgb="CBD5E1"/>
      </x:left>
      <x:bottom>
        <x:color rgb="CBD5E1"/>
      </x:bottom>
    </x:border>
    <x:border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right>
        <x:color rgb="CBD5E1"/>
      </x:right>
      <x:top>
        <x:color rgb="CBD5E1"/>
      </x:top>
      <x:bottom>
        <x:color rgb="CBD5E1"/>
      </x:bottom>
    </x:border>
    <x:border>
      <x:left>
        <x:color rgb="CBD5E1"/>
      </x:left>
      <x:top>
        <x:color rgb="CBD5E1"/>
      </x:top>
      <x:bottom>
        <x:color rgb="CBD5E1"/>
      </x:bottom>
    </x:border>
    <x:border>
      <x:right>
        <x:color rgb="CBD5E1"/>
      </x:right>
      <x:top>
        <x:color rgb="CBD5E1"/>
      </x:top>
    </x:border>
    <x:border>
      <x:left>
        <x:color rgb="CBD5E1"/>
      </x:left>
      <x:right>
        <x:color rgb="CBD5E1"/>
      </x:right>
      <x:top>
        <x:color rgb="CBD5E1"/>
      </x:top>
    </x:border>
    <x:border>
      <x:left>
        <x:color rgb="CBD5E1"/>
      </x:left>
      <x:top>
        <x:color rgb="CBD5E1"/>
      </x:top>
    </x:border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6" xfId="0" applyNumberFormat="1" applyFont="1" applyFill="1" applyBorder="1"/>
    <x:xf numFmtId="201" fontId="0" fillId="0" borderId="6" xfId="0" applyNumberFormat="1" applyFont="1" applyFill="1" applyBorder="1"/>
    <x:xf numFmtId="202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2" fontId="0" fillId="0" borderId="15" xfId="0" applyNumberFormat="1" applyFont="1" applyFill="1" applyBorder="1"/>
    <x:xf numFmtId="201" fontId="0" fillId="0" borderId="15" xfId="0" applyNumberFormat="1" applyFont="1" applyFill="1" applyBorder="1"/>
    <x:xf numFmtId="202" fontId="0" fillId="0" borderId="15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202" fontId="0" fillId="0" borderId="15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2" fontId="0" fillId="0" borderId="4" xfId="0" applyNumberFormat="1" applyFont="1" applyFill="1" applyBorder="1"/>
    <x:xf numFmtId="202" fontId="0" fillId="0" borderId="7" xfId="0" applyNumberFormat="1" applyFont="1" applyFill="1" applyBorder="1"/>
    <x:xf numFmtId="202" fontId="0" fillId="0" borderId="10" xfId="0" applyNumberFormat="1" applyFont="1" applyFill="1" applyBorder="1"/>
    <x:xf numFmtId="202" fontId="0" fillId="0" borderId="13" xfId="0" applyNumberFormat="1" applyFont="1" applyFill="1" applyBorder="1"/>
    <x:xf numFmtId="202" fontId="0" fillId="0" borderId="16" xfId="0" applyNumberFormat="1" applyFont="1" applyFill="1" applyBorder="1"/>
    <x:xf numFmtId="202" fontId="0" fillId="0" borderId="19" xfId="0" applyNumberFormat="1" applyFont="1" applyFill="1" applyBorder="1"/>
    <x:xf numFmtId="200" fontId="0" fillId="0" borderId="3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8e83f8f83842a6" /><Relationship Type="http://schemas.openxmlformats.org/officeDocument/2006/relationships/theme" Target="/xl/theme/theme1.xml" Id="R33f5536d3bad4750" /><Relationship Type="http://schemas.openxmlformats.org/officeDocument/2006/relationships/sharedStrings" Target="/xl/sharedStrings.xml" Id="R7d073da1dc184dd8" /><Relationship Type="http://schemas.openxmlformats.org/officeDocument/2006/relationships/worksheet" Target="/xl/worksheets/sheet1.xml" Id="R14a36dba0edf4140" /><Relationship Type="http://schemas.openxmlformats.org/officeDocument/2006/relationships/worksheet" Target="/xl/worksheets/sheet2.xml" Id="R05c8c6ecce984f6d" /><Relationship Type="http://schemas.openxmlformats.org/officeDocument/2006/relationships/worksheet" Target="/xl/worksheets/sheet3.xml" Id="R9cfd1a1fd05042d5" /><Relationship Type="http://schemas.openxmlformats.org/officeDocument/2006/relationships/worksheet" Target="/xl/worksheets/sheet4.xml" Id="R5ae475308e1a4c51" /><Relationship Type="http://schemas.openxmlformats.org/officeDocument/2006/relationships/worksheet" Target="/xl/worksheets/sheet5.xml" Id="Reb8bc8a7ac0249a0" /><Relationship Type="http://schemas.openxmlformats.org/officeDocument/2006/relationships/worksheet" Target="/xl/worksheets/sheet6.xml" Id="Re1d099ac46374954" /><Relationship Type="http://schemas.openxmlformats.org/officeDocument/2006/relationships/worksheet" Target="/xl/worksheets/sheet7.xml" Id="Rb8970e05e953494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3fa7adb023414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Exceptions by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'Exception_Dashboard'!$F$5:$F$10</c:f>
              <c:strCache>
                <c:ptCount val="0"/>
              </c:strCache>
            </c:strRef>
          </c:cat>
          <c:val>
            <c:numRef>
              <c:f>'Exception_Dashboard'!$G$5:$G$10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3fa7adb023414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anceReconTable" displayName="FinanceReconTable" ref="A4:Q124" headerRowCount="1">
  <x:tableColumns count="17">
    <x:tableColumn id="1" name="Txn Date"/>
    <x:tableColumn id="2" name="Reference ID"/>
    <x:tableColumn id="3" name="Merchant"/>
    <x:tableColumn id="4" name="Channel"/>
    <x:tableColumn id="5" name="Internal Amount"/>
    <x:tableColumn id="6" name="Bank Amount"/>
    <x:tableColumn id="7" name="Internal Status"/>
    <x:tableColumn id="8" name="Bank Status"/>
    <x:tableColumn id="9" name="Owner"/>
    <x:tableColumn id="10" name="Age Days"/>
    <x:tableColumn id="11" name="Amount Diff"/>
    <x:tableColumn id="12" name="Match Status"/>
    <x:tableColumn id="13" name="Exception Type"/>
    <x:tableColumn id="14" name="Aging Bucket"/>
    <x:tableColumn id="15" name="Priority"/>
    <x:tableColumn id="16" name="Root Cause"/>
    <x:tableColumn id="17" name="Resolution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91a5da2155545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fe1f05f2a10f4c9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5" t="str">
        <x:v>Finance Operations Reconciliation &amp; Exception Management System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3" t="str">
        <x:v>Portfolio project for Analytics &amp; Operations domain. No resume-bullet section included.</x:v>
      </x:c>
      <x:c r="B2" s="13"/>
      <x:c r="C2" s="13"/>
      <x:c r="D2" s="13"/>
      <x:c r="E2" s="13"/>
      <x:c r="F2" s="13"/>
      <x:c r="G2" s="13"/>
      <x:c r="H2" s="13"/>
    </x:row>
    <x:row r="4" ht="24" customHeight="1">
      <x:c r="A4" s="22" t="str">
        <x:v>Section</x:v>
      </x:c>
      <x:c r="B4" s="22" t="str">
        <x:v>Content</x:v>
      </x:c>
    </x:row>
    <x:row r="5">
      <x:c r="A5" s="31" t="str">
        <x:v>Business problem</x:v>
      </x:c>
      <x:c r="B5" s="28" t="str">
        <x:v>Finance operations teams need to identify missing transactions, duplicates, amount mismatches, settlement breaks and aging exceptions.
Manual reconciliation slows close cycles and weakens control evidence.</x:v>
      </x:c>
    </x:row>
    <x:row r="6">
      <x:c r="A6" s="31" t="str">
        <x:v>Portfolio deliverables</x:v>
      </x:c>
      <x:c r="B6" s="28" t="str">
        <x:v>Synthetic transaction-level data across Bank Ledger and Internal Ledger.
Rule-based exception classification using formulas.
Exception dashboard by type, aging bucket and owner.
Control matrix and operating model for finance/risk ops handoffs.</x:v>
      </x:c>
    </x:row>
    <x:row r="7">
      <x:c r="A7" s="31" t="str">
        <x:v>Target roles</x:v>
      </x:c>
      <x:c r="B7" s="28" t="str">
        <x:v>Finance Operations Analyst
Risk Operations Analyst
Business Analyst
Data Analyst
Operations Analyst</x:v>
      </x:c>
    </x:row>
    <x:row r="8">
      <x:c r="A8" s="31" t="str">
        <x:v>Data privacy</x:v>
      </x:c>
      <x:c r="B8" s="28" t="str">
        <x:v>All data is synthetic. No customer, employee, candidate, or transaction PII is used.</x:v>
      </x:c>
    </x:row>
    <x:row r="9">
      <x:c r="A9" s="31" t="str">
        <x:v>Source context</x:v>
      </x:c>
      <x:c r="B9" s="28" t="str">
        <x:v>AI/automation maturity in reconciliation focuses on visibility, accuracy and control evidence.
Workflow-error reduction needs exception discipline and clear ownership.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6" hidden="0" customWidth="1"/>
    <x:col min="4" max="4" width="14" hidden="0" customWidth="1"/>
    <x:col min="5" max="5" width="20" hidden="0" customWidth="1"/>
    <x:col min="6" max="6" width="55" hidden="0" customWidth="1"/>
  </x:cols>
  <x:sheetData>
    <x:row r="1" ht="28" customHeight="1">
      <x:c r="A1" s="5" t="str">
        <x:v>Reconciliation Rules</x:v>
      </x:c>
      <x:c r="B1" s="5"/>
      <x:c r="C1" s="5"/>
      <x:c r="D1" s="5"/>
      <x:c r="E1" s="5"/>
      <x:c r="F1" s="5"/>
    </x:row>
    <x:row r="2" ht="22" customHeight="1">
      <x:c r="A2" s="13" t="str">
        <x:v>Configurable thresholds and exception categorization logic.</x:v>
      </x:c>
      <x:c r="B2" s="13"/>
      <x:c r="C2" s="13"/>
      <x:c r="D2" s="13"/>
      <x:c r="E2" s="13"/>
      <x:c r="F2" s="13"/>
    </x:row>
    <x:row r="4" ht="24" customHeight="1">
      <x:c r="A4" s="22" t="str">
        <x:v>Rule</x:v>
      </x:c>
      <x:c r="B4" s="22" t="str">
        <x:v>Parameter</x:v>
      </x:c>
      <x:c r="C4" s="22" t="str">
        <x:v>Value</x:v>
      </x:c>
      <x:c r="D4" s="22" t="str">
        <x:v>Unit</x:v>
      </x:c>
      <x:c r="E4" s="22" t="str">
        <x:v>Owner</x:v>
      </x:c>
      <x:c r="F4" s="22" t="str">
        <x:v>Notes</x:v>
      </x:c>
    </x:row>
    <x:row r="5">
      <x:c r="A5" s="52" t="str">
        <x:v>Amount tolerance</x:v>
      </x:c>
      <x:c r="B5" s="53" t="str">
        <x:v>Allowed difference</x:v>
      </x:c>
      <x:c r="C5" s="53" t="n">
        <x:v>10</x:v>
      </x:c>
      <x:c r="D5" s="53" t="str">
        <x:v>INR</x:v>
      </x:c>
      <x:c r="E5" s="53" t="str">
        <x:v>Finance Ops</x:v>
      </x:c>
      <x:c r="F5" s="54" t="str">
        <x:v>Above this becomes Amount Mismatch</x:v>
      </x:c>
    </x:row>
    <x:row r="6">
      <x:c r="A6" s="55" t="str">
        <x:v>Duplicate detection</x:v>
      </x:c>
      <x:c r="B6" s="56" t="str">
        <x:v>Same reference repeated</x:v>
      </x:c>
      <x:c r="C6" s="56" t="str">
        <x:v>YES</x:v>
      </x:c>
      <x:c r="D6" s="56" t="str">
        <x:v>Flag</x:v>
      </x:c>
      <x:c r="E6" s="56" t="str">
        <x:v>Finance Ops</x:v>
      </x:c>
      <x:c r="F6" s="57" t="str">
        <x:v>Reference IDs should be unique</x:v>
      </x:c>
    </x:row>
    <x:row r="7">
      <x:c r="A7" s="55" t="str">
        <x:v>Missing in bank</x:v>
      </x:c>
      <x:c r="B7" s="56" t="str">
        <x:v>Ledger record without bank match</x:v>
      </x:c>
      <x:c r="C7" s="56" t="str">
        <x:v>YES</x:v>
      </x:c>
      <x:c r="D7" s="56" t="str">
        <x:v>Flag</x:v>
      </x:c>
      <x:c r="E7" s="56" t="str">
        <x:v>Finance Ops</x:v>
      </x:c>
      <x:c r="F7" s="57" t="str">
        <x:v>Potential settlement delay</x:v>
      </x:c>
    </x:row>
    <x:row r="8">
      <x:c r="A8" s="55" t="str">
        <x:v>Missing in ledger</x:v>
      </x:c>
      <x:c r="B8" s="56" t="str">
        <x:v>Bank record without ledger match</x:v>
      </x:c>
      <x:c r="C8" s="56" t="str">
        <x:v>YES</x:v>
      </x:c>
      <x:c r="D8" s="56" t="str">
        <x:v>Flag</x:v>
      </x:c>
      <x:c r="E8" s="56" t="str">
        <x:v>Finance Ops</x:v>
      </x:c>
      <x:c r="F8" s="57" t="str">
        <x:v>Potential posting issue</x:v>
      </x:c>
    </x:row>
    <x:row r="9">
      <x:c r="A9" s="55" t="str">
        <x:v>Aging amber</x:v>
      </x:c>
      <x:c r="B9" s="56" t="str">
        <x:v>Open exception age</x:v>
      </x:c>
      <x:c r="C9" s="56" t="n">
        <x:v>3</x:v>
      </x:c>
      <x:c r="D9" s="56" t="str">
        <x:v>Days</x:v>
      </x:c>
      <x:c r="E9" s="56" t="str">
        <x:v>Risk Ops</x:v>
      </x:c>
      <x:c r="F9" s="57" t="str">
        <x:v>Needs follow-up</x:v>
      </x:c>
    </x:row>
    <x:row r="10">
      <x:c r="A10" s="58" t="str">
        <x:v>Aging red</x:v>
      </x:c>
      <x:c r="B10" s="59" t="str">
        <x:v>Open exception age</x:v>
      </x:c>
      <x:c r="C10" s="59" t="n">
        <x:v>7</x:v>
      </x:c>
      <x:c r="D10" s="59" t="str">
        <x:v>Days</x:v>
      </x:c>
      <x:c r="E10" s="59" t="str">
        <x:v>Risk Ops</x:v>
      </x:c>
      <x:c r="F10" s="60" t="str">
        <x:v>Escalate to owner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 ht="28" customHeight="1">
      <x:c r="A1" s="5" t="str">
        <x:v>Transaction Reconciliation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2" customHeight="1">
      <x:c r="A2" s="13" t="str">
        <x:v>Synthetic internal and bank records with matching keys and formulas.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4" ht="24" customHeight="1">
      <x:c r="A4" s="22" t="str">
        <x:v>Txn Date</x:v>
      </x:c>
      <x:c r="B4" s="22" t="str">
        <x:v>Reference ID</x:v>
      </x:c>
      <x:c r="C4" s="22" t="str">
        <x:v>Merchant</x:v>
      </x:c>
      <x:c r="D4" s="22" t="str">
        <x:v>Channel</x:v>
      </x:c>
      <x:c r="E4" s="22" t="str">
        <x:v>Internal Amount</x:v>
      </x:c>
      <x:c r="F4" s="22" t="str">
        <x:v>Bank Amount</x:v>
      </x:c>
      <x:c r="G4" s="22" t="str">
        <x:v>Internal Status</x:v>
      </x:c>
      <x:c r="H4" s="22" t="str">
        <x:v>Bank Status</x:v>
      </x:c>
      <x:c r="I4" s="22" t="str">
        <x:v>Owner</x:v>
      </x:c>
      <x:c r="J4" s="22" t="str">
        <x:v>Age Days</x:v>
      </x:c>
      <x:c r="K4" s="22" t="str">
        <x:v>Amount Diff</x:v>
      </x:c>
      <x:c r="L4" s="22" t="str">
        <x:v>Match Status</x:v>
      </x:c>
      <x:c r="M4" s="22" t="str">
        <x:v>Exception Type</x:v>
      </x:c>
      <x:c r="N4" s="22" t="str">
        <x:v>Aging Bucket</x:v>
      </x:c>
      <x:c r="O4" s="22" t="str">
        <x:v>Priority</x:v>
      </x:c>
      <x:c r="P4" s="22" t="str">
        <x:v>Root Cause</x:v>
      </x:c>
      <x:c r="Q4" s="22" t="str">
        <x:v>Resolution Action</x:v>
      </x:c>
    </x:row>
    <x:row r="5">
      <x:c r="A5" s="88" t="n">
        <x:v>46152</x:v>
      </x:c>
      <x:c r="B5" t="str">
        <x:v>TXN100001</x:v>
      </x:c>
      <x:c r="C5" t="str">
        <x:v>Fashio</x:v>
      </x:c>
      <x:c r="D5" t="str">
        <x:v>NetBanking</x:v>
      </x:c>
      <x:c r="E5" s="90" t="n">
        <x:v>17488</x:v>
      </x:c>
      <x:c r="F5" s="90" t="n">
        <x:v>17488</x:v>
      </x:c>
      <x:c r="G5" t="str">
        <x:v>Posted</x:v>
      </x:c>
      <x:c r="H5" t="str">
        <x:v>Settled</x:v>
      </x:c>
      <x:c r="I5" t="str">
        <x:v>Finance Ops</x:v>
      </x:c>
      <x:c r="J5" t="n">
        <x:v>5</x:v>
      </x:c>
      <x:c r="K5" s="90" t="n">
        <x:f>IF(OR(E5="",F5=""),"",F5-E5)</x:f>
        <x:v>0</x:v>
      </x:c>
      <x:c r="L5" t="str">
        <x:f>IF(M5="No Exception","Matched","Exception")</x:f>
        <x:v>Matched</x:v>
      </x:c>
      <x:c r="M5" t="str">
        <x:f>IF(COUNTIF($B$5:$B$124,B5)&gt;1,"Duplicate Reference",IF(E5="","Missing in Internal Ledger",IF(F5="","Missing in Bank",IF(ABS(K5)&gt;Rules!$C$5,"Amount Mismatch",IF(OR(G5="Pending",H5="Pending",H5="Missing"),"Status Mismatch","No Exception")))))</x:f>
        <x:v>No Exception</x:v>
      </x:c>
      <x:c r="N5" t="str">
        <x:f>IF(J5&gt;=Rules!$C$10,"Red &gt;7d",IF(J5&gt;=Rules!$C$9,"Amber 3-6d","Green 0-2d"))</x:f>
        <x:v>Amber 3-6d</x:v>
      </x:c>
      <x:c r="O5" t="str">
        <x:f>IF(OR(N5="Red &gt;7d",M5="Missing in Bank",M5="Missing in Internal Ledger"),"P1",IF(OR(M5="Amount Mismatch",M5="Duplicate Reference"),"P2","P3"))</x:f>
        <x:v>P3</x:v>
      </x:c>
      <x:c r="P5" t="str">
        <x:f>IF(M5="No Exception","NA",IF(M5="Amount Mismatch","Fee/settlement difference",IF(M5="Duplicate Reference","Duplicate posting or retry",IF(M5="Missing in Bank","Settlement delay",IF(M5="Missing in Internal Ledger","Posting/integration issue","Status timing gap")))))</x:f>
        <x:v>NA</x:v>
      </x:c>
      <x:c r="Q5" t="str">
        <x:f>IF(M5="No Exception","No action",IF(O5="P1","Escalate today",IF(O5="P2","Investigate within 48 hrs","Monitor in next batch")))</x:f>
        <x:v>No action</x:v>
      </x:c>
    </x:row>
    <x:row r="6">
      <x:c r="A6" s="88" t="n">
        <x:v>46148</x:v>
      </x:c>
      <x:c r="B6" t="str">
        <x:v>TXN100002</x:v>
      </x:c>
      <x:c r="C6" t="str">
        <x:v>CloudFoods</x:v>
      </x:c>
      <x:c r="D6" t="str">
        <x:v>Wallet</x:v>
      </x:c>
      <x:c r="E6" s="90" t="n">
        <x:v>7170</x:v>
      </x:c>
      <x:c r="F6" s="90" t="n">
        <x:v>7170</x:v>
      </x:c>
      <x:c r="G6" t="str">
        <x:v>Posted</x:v>
      </x:c>
      <x:c r="H6" t="str">
        <x:v>Settled</x:v>
      </x:c>
      <x:c r="I6" t="str">
        <x:v>Merchant Ops</x:v>
      </x:c>
      <x:c r="J6" t="n">
        <x:v>4</x:v>
      </x:c>
      <x:c r="K6" s="90" t="n">
        <x:f>IF(OR(E6="",F6=""),"",F6-E6)</x:f>
        <x:v>0</x:v>
      </x:c>
      <x:c r="L6" t="str">
        <x:f>IF(M6="No Exception","Matched","Exception")</x:f>
        <x:v>Matched</x:v>
      </x:c>
      <x:c r="M6" t="str">
        <x:f>IF(COUNTIF($B$5:$B$124,B6)&gt;1,"Duplicate Reference",IF(E6="","Missing in Internal Ledger",IF(F6="","Missing in Bank",IF(ABS(K6)&gt;Rules!$C$5,"Amount Mismatch",IF(OR(G6="Pending",H6="Pending",H6="Missing"),"Status Mismatch","No Exception")))))</x:f>
        <x:v>No Exception</x:v>
      </x:c>
      <x:c r="N6" t="str">
        <x:f>IF(J6&gt;=Rules!$C$10,"Red &gt;7d",IF(J6&gt;=Rules!$C$9,"Amber 3-6d","Green 0-2d"))</x:f>
        <x:v>Amber 3-6d</x:v>
      </x:c>
      <x:c r="O6" t="str">
        <x:f>IF(OR(N6="Red &gt;7d",M6="Missing in Bank",M6="Missing in Internal Ledger"),"P2",IF(OR(M6="Amount Mismatch",M6="Duplicate Reference"),"P3","P4"))</x:f>
        <x:v>P4</x:v>
      </x:c>
      <x:c r="P6" t="str">
        <x:f>IF(M6="No Exception","NA",IF(M6="Amount Mismatch","Fee/settlement difference",IF(M6="Duplicate Reference","Duplicate posting or retry",IF(M6="Missing in Bank","Settlement delay",IF(M6="Missing in Internal Ledger","Posting/integration issue","Status timing gap")))))</x:f>
        <x:v>NA</x:v>
      </x:c>
      <x:c r="Q6" t="str">
        <x:f>IF(M6="No Exception","No action",IF(O6="P2","Escalate today",IF(O6="P3","Investigate within 48 hrs","Monitor in next batch")))</x:f>
        <x:v>No action</x:v>
      </x:c>
    </x:row>
    <x:row r="7">
      <x:c r="A7" s="88" t="n">
        <x:v>46114</x:v>
      </x:c>
      <x:c r="B7" t="str">
        <x:v>TXN100003</x:v>
      </x:c>
      <x:c r="C7" t="str">
        <x:v>Medix</x:v>
      </x:c>
      <x:c r="D7" t="str">
        <x:v>Cards</x:v>
      </x:c>
      <x:c r="E7" s="90" t="n">
        <x:v>16383</x:v>
      </x:c>
      <x:c r="F7" s="90" t="n">
        <x:v>16383</x:v>
      </x:c>
      <x:c r="G7" t="str">
        <x:v>Posted</x:v>
      </x:c>
      <x:c r="H7" t="str">
        <x:v>Settled</x:v>
      </x:c>
      <x:c r="I7" t="str">
        <x:v>Payments Ops</x:v>
      </x:c>
      <x:c r="J7" t="n">
        <x:v>1</x:v>
      </x:c>
      <x:c r="K7" s="90" t="n">
        <x:f>IF(OR(E7="",F7=""),"",F7-E7)</x:f>
        <x:v>0</x:v>
      </x:c>
      <x:c r="L7" t="str">
        <x:f>IF(M7="No Exception","Matched","Exception")</x:f>
        <x:v>Matched</x:v>
      </x:c>
      <x:c r="M7" t="str">
        <x:f>IF(COUNTIF($B$5:$B$124,B7)&gt;1,"Duplicate Reference",IF(E7="","Missing in Internal Ledger",IF(F7="","Missing in Bank",IF(ABS(K7)&gt;Rules!$C$5,"Amount Mismatch",IF(OR(G7="Pending",H7="Pending",H7="Missing"),"Status Mismatch","No Exception")))))</x:f>
        <x:v>No Exception</x:v>
      </x:c>
      <x:c r="N7" t="str">
        <x:f>IF(J7&gt;=Rules!$C$10,"Red &gt;7d",IF(J7&gt;=Rules!$C$9,"Amber 3-6d","Green 0-2d"))</x:f>
        <x:v>Green 0-2d</x:v>
      </x:c>
      <x:c r="O7" t="str">
        <x:f>IF(OR(N7="Red &gt;7d",M7="Missing in Bank",M7="Missing in Internal Ledger"),"P3",IF(OR(M7="Amount Mismatch",M7="Duplicate Reference"),"P4","P5"))</x:f>
        <x:v>P5</x:v>
      </x:c>
      <x:c r="P7" t="str">
        <x:f>IF(M7="No Exception","NA",IF(M7="Amount Mismatch","Fee/settlement difference",IF(M7="Duplicate Reference","Duplicate posting or retry",IF(M7="Missing in Bank","Settlement delay",IF(M7="Missing in Internal Ledger","Posting/integration issue","Status timing gap")))))</x:f>
        <x:v>NA</x:v>
      </x:c>
      <x:c r="Q7" t="str">
        <x:f>IF(M7="No Exception","No action",IF(O7="P3","Escalate today",IF(O7="P4","Investigate within 48 hrs","Monitor in next batch")))</x:f>
        <x:v>No action</x:v>
      </x:c>
    </x:row>
    <x:row r="8">
      <x:c r="A8" s="88" t="n">
        <x:v>46148</x:v>
      </x:c>
      <x:c r="B8" t="str">
        <x:v>TXN100004</x:v>
      </x:c>
      <x:c r="C8" t="str">
        <x:v>TravelGo</x:v>
      </x:c>
      <x:c r="D8" t="str">
        <x:v>UPI</x:v>
      </x:c>
      <x:c r="E8" s="90" t="n">
        <x:v>18549</x:v>
      </x:c>
      <x:c r="F8" s="90" t="n">
        <x:v>18549</x:v>
      </x:c>
      <x:c r="G8" t="str">
        <x:v>Posted</x:v>
      </x:c>
      <x:c r="H8" t="str">
        <x:v>Settled</x:v>
      </x:c>
      <x:c r="I8" t="str">
        <x:v>Risk Ops</x:v>
      </x:c>
      <x:c r="J8" t="n">
        <x:v>0</x:v>
      </x:c>
      <x:c r="K8" s="90" t="n">
        <x:f>IF(OR(E8="",F8=""),"",F8-E8)</x:f>
        <x:v>0</x:v>
      </x:c>
      <x:c r="L8" t="str">
        <x:f>IF(M8="No Exception","Matched","Exception")</x:f>
        <x:v>Matched</x:v>
      </x:c>
      <x:c r="M8" t="str">
        <x:f>IF(COUNTIF($B$5:$B$124,B8)&gt;1,"Duplicate Reference",IF(E8="","Missing in Internal Ledger",IF(F8="","Missing in Bank",IF(ABS(K8)&gt;Rules!$C$5,"Amount Mismatch",IF(OR(G8="Pending",H8="Pending",H8="Missing"),"Status Mismatch","No Exception")))))</x:f>
        <x:v>No Exception</x:v>
      </x:c>
      <x:c r="N8" t="str">
        <x:f>IF(J8&gt;=Rules!$C$10,"Red &gt;7d",IF(J8&gt;=Rules!$C$9,"Amber 3-6d","Green 0-2d"))</x:f>
        <x:v>Green 0-2d</x:v>
      </x:c>
      <x:c r="O8" t="str">
        <x:f>IF(OR(N8="Red &gt;7d",M8="Missing in Bank",M8="Missing in Internal Ledger"),"P4",IF(OR(M8="Amount Mismatch",M8="Duplicate Reference"),"P5","P6"))</x:f>
        <x:v>P6</x:v>
      </x:c>
      <x:c r="P8" t="str">
        <x:f>IF(M8="No Exception","NA",IF(M8="Amount Mismatch","Fee/settlement difference",IF(M8="Duplicate Reference","Duplicate posting or retry",IF(M8="Missing in Bank","Settlement delay",IF(M8="Missing in Internal Ledger","Posting/integration issue","Status timing gap")))))</x:f>
        <x:v>NA</x:v>
      </x:c>
      <x:c r="Q8" t="str">
        <x:f>IF(M8="No Exception","No action",IF(O8="P4","Escalate today",IF(O8="P5","Investigate within 48 hrs","Monitor in next batch")))</x:f>
        <x:v>No action</x:v>
      </x:c>
    </x:row>
    <x:row r="9">
      <x:c r="A9" s="88" t="n">
        <x:v>46120</x:v>
      </x:c>
      <x:c r="B9" t="str">
        <x:v>TXN100005</x:v>
      </x:c>
      <x:c r="C9" t="str">
        <x:v>CloudFoods</x:v>
      </x:c>
      <x:c r="D9" t="str">
        <x:v>NetBanking</x:v>
      </x:c>
      <x:c r="E9" s="90" t="n">
        <x:v>4217</x:v>
      </x:c>
      <x:c r="F9" s="90" t="n">
        <x:v>4217</x:v>
      </x:c>
      <x:c r="G9" t="str">
        <x:v>Posted</x:v>
      </x:c>
      <x:c r="H9" t="str">
        <x:v>Settled</x:v>
      </x:c>
      <x:c r="I9" t="str">
        <x:v>Payments Ops</x:v>
      </x:c>
      <x:c r="J9" t="n">
        <x:v>7</x:v>
      </x:c>
      <x:c r="K9" s="90" t="n">
        <x:f>IF(OR(E9="",F9=""),"",F9-E9)</x:f>
        <x:v>0</x:v>
      </x:c>
      <x:c r="L9" t="str">
        <x:f>IF(M9="No Exception","Matched","Exception")</x:f>
        <x:v>Matched</x:v>
      </x:c>
      <x:c r="M9" t="str">
        <x:f>IF(COUNTIF($B$5:$B$124,B9)&gt;1,"Duplicate Reference",IF(E9="","Missing in Internal Ledger",IF(F9="","Missing in Bank",IF(ABS(K9)&gt;Rules!$C$5,"Amount Mismatch",IF(OR(G9="Pending",H9="Pending",H9="Missing"),"Status Mismatch","No Exception")))))</x:f>
        <x:v>No Exception</x:v>
      </x:c>
      <x:c r="N9" t="str">
        <x:f>IF(J9&gt;=Rules!$C$10,"Red &gt;7d",IF(J9&gt;=Rules!$C$9,"Amber 3-6d","Green 0-2d"))</x:f>
        <x:v>Red &gt;7d</x:v>
      </x:c>
      <x:c r="O9" t="str">
        <x:f>IF(OR(N9="Red &gt;7d",M9="Missing in Bank",M9="Missing in Internal Ledger"),"P5",IF(OR(M9="Amount Mismatch",M9="Duplicate Reference"),"P6","P7"))</x:f>
        <x:v>P5</x:v>
      </x:c>
      <x:c r="P9" t="str">
        <x:f>IF(M9="No Exception","NA",IF(M9="Amount Mismatch","Fee/settlement difference",IF(M9="Duplicate Reference","Duplicate posting or retry",IF(M9="Missing in Bank","Settlement delay",IF(M9="Missing in Internal Ledger","Posting/integration issue","Status timing gap")))))</x:f>
        <x:v>NA</x:v>
      </x:c>
      <x:c r="Q9" t="str">
        <x:f>IF(M9="No Exception","No action",IF(O9="P5","Escalate today",IF(O9="P6","Investigate within 48 hrs","Monitor in next batch")))</x:f>
        <x:v>No action</x:v>
      </x:c>
    </x:row>
    <x:row r="10">
      <x:c r="A10" s="88" t="n">
        <x:v>46130</x:v>
      </x:c>
      <x:c r="B10" t="str">
        <x:v>TXN100006</x:v>
      </x:c>
      <x:c r="C10" t="str">
        <x:v>TravelGo</x:v>
      </x:c>
      <x:c r="D10" t="str">
        <x:v>NetBanking</x:v>
      </x:c>
      <x:c r="E10" s="90" t="n">
        <x:v>17174</x:v>
      </x:c>
      <x:c r="F10" s="90" t="n">
        <x:v>17174</x:v>
      </x:c>
      <x:c r="G10" t="str">
        <x:v>Posted</x:v>
      </x:c>
      <x:c r="H10" t="str">
        <x:v>Settled</x:v>
      </x:c>
      <x:c r="I10" t="str">
        <x:v>Merchant Ops</x:v>
      </x:c>
      <x:c r="J10" t="n">
        <x:v>11</x:v>
      </x:c>
      <x:c r="K10" s="90" t="n">
        <x:f>IF(OR(E10="",F10=""),"",F10-E10)</x:f>
        <x:v>0</x:v>
      </x:c>
      <x:c r="L10" t="str">
        <x:f>IF(M10="No Exception","Matched","Exception")</x:f>
        <x:v>Matched</x:v>
      </x:c>
      <x:c r="M10" t="str">
        <x:f>IF(COUNTIF($B$5:$B$124,B10)&gt;1,"Duplicate Reference",IF(E10="","Missing in Internal Ledger",IF(F10="","Missing in Bank",IF(ABS(K10)&gt;Rules!$C$5,"Amount Mismatch",IF(OR(G10="Pending",H10="Pending",H10="Missing"),"Status Mismatch","No Exception")))))</x:f>
        <x:v>No Exception</x:v>
      </x:c>
      <x:c r="N10" t="str">
        <x:f>IF(J10&gt;=Rules!$C$10,"Red &gt;7d",IF(J10&gt;=Rules!$C$9,"Amber 3-6d","Green 0-2d"))</x:f>
        <x:v>Red &gt;7d</x:v>
      </x:c>
      <x:c r="O10" t="str">
        <x:f>IF(OR(N10="Red &gt;7d",M10="Missing in Bank",M10="Missing in Internal Ledger"),"P6",IF(OR(M10="Amount Mismatch",M10="Duplicate Reference"),"P7","P8"))</x:f>
        <x:v>P6</x:v>
      </x:c>
      <x:c r="P10" t="str">
        <x:f>IF(M10="No Exception","NA",IF(M10="Amount Mismatch","Fee/settlement difference",IF(M10="Duplicate Reference","Duplicate posting or retry",IF(M10="Missing in Bank","Settlement delay",IF(M10="Missing in Internal Ledger","Posting/integration issue","Status timing gap")))))</x:f>
        <x:v>NA</x:v>
      </x:c>
      <x:c r="Q10" t="str">
        <x:f>IF(M10="No Exception","No action",IF(O10="P6","Escalate today",IF(O10="P7","Investigate within 48 hrs","Monitor in next batch")))</x:f>
        <x:v>No action</x:v>
      </x:c>
    </x:row>
    <x:row r="11">
      <x:c r="A11" s="88" t="n">
        <x:v>46148</x:v>
      </x:c>
      <x:c r="B11" t="str">
        <x:v>TXN100007</x:v>
      </x:c>
      <x:c r="C11" t="str">
        <x:v>CloudFoods</x:v>
      </x:c>
      <x:c r="D11" t="str">
        <x:v>NetBanking</x:v>
      </x:c>
      <x:c r="E11" s="90" t="n">
        <x:v>8486</x:v>
      </x:c>
      <x:c r="F11" s="90" t="n">
        <x:v>8486</x:v>
      </x:c>
      <x:c r="G11" t="str">
        <x:v>Posted</x:v>
      </x:c>
      <x:c r="H11" t="str">
        <x:v>Settled</x:v>
      </x:c>
      <x:c r="I11" t="str">
        <x:v>Risk Ops</x:v>
      </x:c>
      <x:c r="J11" t="n">
        <x:v>7</x:v>
      </x:c>
      <x:c r="K11" s="90" t="n">
        <x:f>IF(OR(E11="",F11=""),"",F11-E11)</x:f>
        <x:v>0</x:v>
      </x:c>
      <x:c r="L11" t="str">
        <x:f>IF(M11="No Exception","Matched","Exception")</x:f>
        <x:v>Matched</x:v>
      </x:c>
      <x:c r="M11" t="str">
        <x:f>IF(COUNTIF($B$5:$B$124,B11)&gt;1,"Duplicate Reference",IF(E11="","Missing in Internal Ledger",IF(F11="","Missing in Bank",IF(ABS(K11)&gt;Rules!$C$5,"Amount Mismatch",IF(OR(G11="Pending",H11="Pending",H11="Missing"),"Status Mismatch","No Exception")))))</x:f>
        <x:v>No Exception</x:v>
      </x:c>
      <x:c r="N11" t="str">
        <x:f>IF(J11&gt;=Rules!$C$10,"Red &gt;7d",IF(J11&gt;=Rules!$C$9,"Amber 3-6d","Green 0-2d"))</x:f>
        <x:v>Red &gt;7d</x:v>
      </x:c>
      <x:c r="O11" t="str">
        <x:f>IF(OR(N11="Red &gt;7d",M11="Missing in Bank",M11="Missing in Internal Ledger"),"P7",IF(OR(M11="Amount Mismatch",M11="Duplicate Reference"),"P8","P9"))</x:f>
        <x:v>P7</x:v>
      </x:c>
      <x:c r="P11" t="str">
        <x:f>IF(M11="No Exception","NA",IF(M11="Amount Mismatch","Fee/settlement difference",IF(M11="Duplicate Reference","Duplicate posting or retry",IF(M11="Missing in Bank","Settlement delay",IF(M11="Missing in Internal Ledger","Posting/integration issue","Status timing gap")))))</x:f>
        <x:v>NA</x:v>
      </x:c>
      <x:c r="Q11" t="str">
        <x:f>IF(M11="No Exception","No action",IF(O11="P7","Escalate today",IF(O11="P8","Investigate within 48 hrs","Monitor in next batch")))</x:f>
        <x:v>No action</x:v>
      </x:c>
    </x:row>
    <x:row r="12">
      <x:c r="A12" s="88" t="n">
        <x:v>46121</x:v>
      </x:c>
      <x:c r="B12" t="str">
        <x:v>TXN100008</x:v>
      </x:c>
      <x:c r="C12" t="str">
        <x:v>ShopKart</x:v>
      </x:c>
      <x:c r="D12" t="str">
        <x:v>Wallet</x:v>
      </x:c>
      <x:c r="E12" s="90" t="n">
        <x:v>17154</x:v>
      </x:c>
      <x:c r="F12" s="90" t="n">
        <x:v>17154</x:v>
      </x:c>
      <x:c r="G12" t="str">
        <x:v>Posted</x:v>
      </x:c>
      <x:c r="H12" t="str">
        <x:v>Settled</x:v>
      </x:c>
      <x:c r="I12" t="str">
        <x:v>Merchant Ops</x:v>
      </x:c>
      <x:c r="J12" t="n">
        <x:v>11</x:v>
      </x:c>
      <x:c r="K12" s="90" t="n">
        <x:f>IF(OR(E12="",F12=""),"",F12-E12)</x:f>
        <x:v>0</x:v>
      </x:c>
      <x:c r="L12" t="str">
        <x:f>IF(M12="No Exception","Matched","Exception")</x:f>
        <x:v>Matched</x:v>
      </x:c>
      <x:c r="M12" t="str">
        <x:f>IF(COUNTIF($B$5:$B$124,B12)&gt;1,"Duplicate Reference",IF(E12="","Missing in Internal Ledger",IF(F12="","Missing in Bank",IF(ABS(K12)&gt;Rules!$C$5,"Amount Mismatch",IF(OR(G12="Pending",H12="Pending",H12="Missing"),"Status Mismatch","No Exception")))))</x:f>
        <x:v>No Exception</x:v>
      </x:c>
      <x:c r="N12" t="str">
        <x:f>IF(J12&gt;=Rules!$C$10,"Red &gt;7d",IF(J12&gt;=Rules!$C$9,"Amber 3-6d","Green 0-2d"))</x:f>
        <x:v>Red &gt;7d</x:v>
      </x:c>
      <x:c r="O12" t="str">
        <x:f>IF(OR(N12="Red &gt;7d",M12="Missing in Bank",M12="Missing in Internal Ledger"),"P8",IF(OR(M12="Amount Mismatch",M12="Duplicate Reference"),"P9","P10"))</x:f>
        <x:v>P8</x:v>
      </x:c>
      <x:c r="P12" t="str">
        <x:f>IF(M12="No Exception","NA",IF(M12="Amount Mismatch","Fee/settlement difference",IF(M12="Duplicate Reference","Duplicate posting or retry",IF(M12="Missing in Bank","Settlement delay",IF(M12="Missing in Internal Ledger","Posting/integration issue","Status timing gap")))))</x:f>
        <x:v>NA</x:v>
      </x:c>
      <x:c r="Q12" t="str">
        <x:f>IF(M12="No Exception","No action",IF(O12="P8","Escalate today",IF(O12="P9","Investigate within 48 hrs","Monitor in next batch")))</x:f>
        <x:v>No action</x:v>
      </x:c>
    </x:row>
    <x:row r="13">
      <x:c r="A13" s="88" t="n">
        <x:v>46145</x:v>
      </x:c>
      <x:c r="B13" t="str">
        <x:v>TXN100009</x:v>
      </x:c>
      <x:c r="C13" t="str">
        <x:v>QuickRide</x:v>
      </x:c>
      <x:c r="D13" t="str">
        <x:v>UPI</x:v>
      </x:c>
      <x:c r="E13" s="90" t="n">
        <x:v>11637</x:v>
      </x:c>
      <x:c r="F13" s="90" t="n">
        <x:v>11637</x:v>
      </x:c>
      <x:c r="G13" t="str">
        <x:v>Posted</x:v>
      </x:c>
      <x:c r="H13" t="str">
        <x:v>Settled</x:v>
      </x:c>
      <x:c r="I13" t="str">
        <x:v>Payments Ops</x:v>
      </x:c>
      <x:c r="J13" t="n">
        <x:v>12</x:v>
      </x:c>
      <x:c r="K13" s="90" t="n">
        <x:f>IF(OR(E13="",F13=""),"",F13-E13)</x:f>
        <x:v>0</x:v>
      </x:c>
      <x:c r="L13" t="str">
        <x:f>IF(M13="No Exception","Matched","Exception")</x:f>
        <x:v>Matched</x:v>
      </x:c>
      <x:c r="M13" t="str">
        <x:f>IF(COUNTIF($B$5:$B$124,B13)&gt;1,"Duplicate Reference",IF(E13="","Missing in Internal Ledger",IF(F13="","Missing in Bank",IF(ABS(K13)&gt;Rules!$C$5,"Amount Mismatch",IF(OR(G13="Pending",H13="Pending",H13="Missing"),"Status Mismatch","No Exception")))))</x:f>
        <x:v>No Exception</x:v>
      </x:c>
      <x:c r="N13" t="str">
        <x:f>IF(J13&gt;=Rules!$C$10,"Red &gt;7d",IF(J13&gt;=Rules!$C$9,"Amber 3-6d","Green 0-2d"))</x:f>
        <x:v>Red &gt;7d</x:v>
      </x:c>
      <x:c r="O13" t="str">
        <x:f>IF(OR(N13="Red &gt;7d",M13="Missing in Bank",M13="Missing in Internal Ledger"),"P9",IF(OR(M13="Amount Mismatch",M13="Duplicate Reference"),"P10","P11"))</x:f>
        <x:v>P9</x:v>
      </x:c>
      <x:c r="P13" t="str">
        <x:f>IF(M13="No Exception","NA",IF(M13="Amount Mismatch","Fee/settlement difference",IF(M13="Duplicate Reference","Duplicate posting or retry",IF(M13="Missing in Bank","Settlement delay",IF(M13="Missing in Internal Ledger","Posting/integration issue","Status timing gap")))))</x:f>
        <x:v>NA</x:v>
      </x:c>
      <x:c r="Q13" t="str">
        <x:f>IF(M13="No Exception","No action",IF(O13="P9","Escalate today",IF(O13="P10","Investigate within 48 hrs","Monitor in next batch")))</x:f>
        <x:v>No action</x:v>
      </x:c>
    </x:row>
    <x:row r="14">
      <x:c r="A14" s="88" t="n">
        <x:v>46150</x:v>
      </x:c>
      <x:c r="B14" t="str">
        <x:v>TXN100010</x:v>
      </x:c>
      <x:c r="C14" t="str">
        <x:v>Fashio</x:v>
      </x:c>
      <x:c r="D14" t="str">
        <x:v>Cards</x:v>
      </x:c>
      <x:c r="E14" s="90" t="n">
        <x:v>10283</x:v>
      </x:c>
      <x:c r="F14" s="90" t="n">
        <x:v>10283</x:v>
      </x:c>
      <x:c r="G14" t="str">
        <x:v>Posted</x:v>
      </x:c>
      <x:c r="H14" t="str">
        <x:v>Settled</x:v>
      </x:c>
      <x:c r="I14" t="str">
        <x:v>Merchant Ops</x:v>
      </x:c>
      <x:c r="J14" t="n">
        <x:v>9</x:v>
      </x:c>
      <x:c r="K14" s="90" t="n">
        <x:f>IF(OR(E14="",F14=""),"",F14-E14)</x:f>
        <x:v>0</x:v>
      </x:c>
      <x:c r="L14" t="str">
        <x:f>IF(M14="No Exception","Matched","Exception")</x:f>
        <x:v>Matched</x:v>
      </x:c>
      <x:c r="M14" t="str">
        <x:f>IF(COUNTIF($B$5:$B$124,B14)&gt;1,"Duplicate Reference",IF(E14="","Missing in Internal Ledger",IF(F14="","Missing in Bank",IF(ABS(K14)&gt;Rules!$C$5,"Amount Mismatch",IF(OR(G14="Pending",H14="Pending",H14="Missing"),"Status Mismatch","No Exception")))))</x:f>
        <x:v>No Exception</x:v>
      </x:c>
      <x:c r="N14" t="str">
        <x:f>IF(J14&gt;=Rules!$C$10,"Red &gt;7d",IF(J14&gt;=Rules!$C$9,"Amber 3-6d","Green 0-2d"))</x:f>
        <x:v>Red &gt;7d</x:v>
      </x:c>
      <x:c r="O14" t="str">
        <x:f>IF(OR(N14="Red &gt;7d",M14="Missing in Bank",M14="Missing in Internal Ledger"),"P10",IF(OR(M14="Amount Mismatch",M14="Duplicate Reference"),"P11","P12"))</x:f>
        <x:v>P10</x:v>
      </x:c>
      <x:c r="P14" t="str">
        <x:f>IF(M14="No Exception","NA",IF(M14="Amount Mismatch","Fee/settlement difference",IF(M14="Duplicate Reference","Duplicate posting or retry",IF(M14="Missing in Bank","Settlement delay",IF(M14="Missing in Internal Ledger","Posting/integration issue","Status timing gap")))))</x:f>
        <x:v>NA</x:v>
      </x:c>
      <x:c r="Q14" t="str">
        <x:f>IF(M14="No Exception","No action",IF(O14="P10","Escalate today",IF(O14="P11","Investigate within 48 hrs","Monitor in next batch")))</x:f>
        <x:v>No action</x:v>
      </x:c>
    </x:row>
    <x:row r="15">
      <x:c r="A15" s="88" t="n">
        <x:v>46134</x:v>
      </x:c>
      <x:c r="B15" t="str">
        <x:v>TXN100011</x:v>
      </x:c>
      <x:c r="C15" t="str">
        <x:v>TravelGo</x:v>
      </x:c>
      <x:c r="D15" t="str">
        <x:v>NetBanking</x:v>
      </x:c>
      <x:c r="E15" s="90" t="n">
        <x:v>18148</x:v>
      </x:c>
      <x:c r="F15" s="90" t="n">
        <x:v>18268</x:v>
      </x:c>
      <x:c r="G15" t="str">
        <x:v>Posted</x:v>
      </x:c>
      <x:c r="H15" t="str">
        <x:v>Settled</x:v>
      </x:c>
      <x:c r="I15" t="str">
        <x:v>Payments Ops</x:v>
      </x:c>
      <x:c r="J15" t="n">
        <x:v>5</x:v>
      </x:c>
      <x:c r="K15" s="90" t="n">
        <x:f>IF(OR(E15="",F15=""),"",F15-E15)</x:f>
        <x:v>120</x:v>
      </x:c>
      <x:c r="L15" t="str">
        <x:f>IF(M15="No Exception","Matched","Exception")</x:f>
        <x:v>Exception</x:v>
      </x:c>
      <x:c r="M15" t="str">
        <x:f>IF(COUNTIF($B$5:$B$124,B15)&gt;1,"Duplicate Reference",IF(E15="","Missing in Internal Ledger",IF(F15="","Missing in Bank",IF(ABS(K15)&gt;Rules!$C$5,"Amount Mismatch",IF(OR(G15="Pending",H15="Pending",H15="Missing"),"Status Mismatch","No Exception")))))</x:f>
        <x:v>Amount Mismatch</x:v>
      </x:c>
      <x:c r="N15" t="str">
        <x:f>IF(J15&gt;=Rules!$C$10,"Red &gt;7d",IF(J15&gt;=Rules!$C$9,"Amber 3-6d","Green 0-2d"))</x:f>
        <x:v>Amber 3-6d</x:v>
      </x:c>
      <x:c r="O15" t="str">
        <x:f>IF(OR(N15="Red &gt;7d",M15="Missing in Bank",M15="Missing in Internal Ledger"),"P11",IF(OR(M15="Amount Mismatch",M15="Duplicate Reference"),"P12","P13"))</x:f>
        <x:v>P12</x:v>
      </x:c>
      <x:c r="P15" t="str">
        <x:f>IF(M15="No Exception","NA",IF(M15="Amount Mismatch","Fee/settlement difference",IF(M15="Duplicate Reference","Duplicate posting or retry",IF(M15="Missing in Bank","Settlement delay",IF(M15="Missing in Internal Ledger","Posting/integration issue","Status timing gap")))))</x:f>
        <x:v>Fee/settlement difference</x:v>
      </x:c>
      <x:c r="Q15" t="str">
        <x:f>IF(M15="No Exception","No action",IF(O15="P11","Escalate today",IF(O15="P12","Investigate within 48 hrs","Monitor in next batch")))</x:f>
        <x:v>Investigate within 48 hrs</x:v>
      </x:c>
    </x:row>
    <x:row r="16">
      <x:c r="A16" s="88" t="n">
        <x:v>46128</x:v>
      </x:c>
      <x:c r="B16" t="str">
        <x:v>TXN100012</x:v>
      </x:c>
      <x:c r="C16" t="str">
        <x:v>TravelGo</x:v>
      </x:c>
      <x:c r="D16" t="str">
        <x:v>Cards</x:v>
      </x:c>
      <x:c r="E16" s="90" t="n">
        <x:v>6681</x:v>
      </x:c>
      <x:c r="F16" s="90" t="n">
        <x:v>6681</x:v>
      </x:c>
      <x:c r="G16" t="str">
        <x:v>Posted</x:v>
      </x:c>
      <x:c r="H16" t="str">
        <x:v>Settled</x:v>
      </x:c>
      <x:c r="I16" t="str">
        <x:v>Merchant Ops</x:v>
      </x:c>
      <x:c r="J16" t="n">
        <x:v>11</x:v>
      </x:c>
      <x:c r="K16" s="90" t="n">
        <x:f>IF(OR(E16="",F16=""),"",F16-E16)</x:f>
        <x:v>0</x:v>
      </x:c>
      <x:c r="L16" t="str">
        <x:f>IF(M16="No Exception","Matched","Exception")</x:f>
        <x:v>Matched</x:v>
      </x:c>
      <x:c r="M16" t="str">
        <x:f>IF(COUNTIF($B$5:$B$124,B16)&gt;1,"Duplicate Reference",IF(E16="","Missing in Internal Ledger",IF(F16="","Missing in Bank",IF(ABS(K16)&gt;Rules!$C$5,"Amount Mismatch",IF(OR(G16="Pending",H16="Pending",H16="Missing"),"Status Mismatch","No Exception")))))</x:f>
        <x:v>No Exception</x:v>
      </x:c>
      <x:c r="N16" t="str">
        <x:f>IF(J16&gt;=Rules!$C$10,"Red &gt;7d",IF(J16&gt;=Rules!$C$9,"Amber 3-6d","Green 0-2d"))</x:f>
        <x:v>Red &gt;7d</x:v>
      </x:c>
      <x:c r="O16" t="str">
        <x:f>IF(OR(N16="Red &gt;7d",M16="Missing in Bank",M16="Missing in Internal Ledger"),"P12",IF(OR(M16="Amount Mismatch",M16="Duplicate Reference"),"P13","P14"))</x:f>
        <x:v>P12</x:v>
      </x:c>
      <x:c r="P16" t="str">
        <x:f>IF(M16="No Exception","NA",IF(M16="Amount Mismatch","Fee/settlement difference",IF(M16="Duplicate Reference","Duplicate posting or retry",IF(M16="Missing in Bank","Settlement delay",IF(M16="Missing in Internal Ledger","Posting/integration issue","Status timing gap")))))</x:f>
        <x:v>NA</x:v>
      </x:c>
      <x:c r="Q16" t="str">
        <x:f>IF(M16="No Exception","No action",IF(O16="P12","Escalate today",IF(O16="P13","Investigate within 48 hrs","Monitor in next batch")))</x:f>
        <x:v>No action</x:v>
      </x:c>
    </x:row>
    <x:row r="17">
      <x:c r="A17" s="88" t="n">
        <x:v>46143</x:v>
      </x:c>
      <x:c r="B17" t="str">
        <x:v>TXN100013</x:v>
      </x:c>
      <x:c r="C17" t="str">
        <x:v>TravelGo</x:v>
      </x:c>
      <x:c r="D17" t="str">
        <x:v>NetBanking</x:v>
      </x:c>
      <x:c r="E17" s="90" t="n">
        <x:v>1930</x:v>
      </x:c>
      <x:c r="F17" s="90" t="n">
        <x:v>1930</x:v>
      </x:c>
      <x:c r="G17" t="str">
        <x:v>Pending</x:v>
      </x:c>
      <x:c r="H17" t="str">
        <x:v>Settled</x:v>
      </x:c>
      <x:c r="I17" t="str">
        <x:v>Risk Ops</x:v>
      </x:c>
      <x:c r="J17" t="n">
        <x:v>5</x:v>
      </x:c>
      <x:c r="K17" s="90" t="n">
        <x:f>IF(OR(E17="",F17=""),"",F17-E17)</x:f>
        <x:v>0</x:v>
      </x:c>
      <x:c r="L17" t="str">
        <x:f>IF(M17="No Exception","Matched","Exception")</x:f>
        <x:v>Exception</x:v>
      </x:c>
      <x:c r="M17" t="str">
        <x:f>IF(COUNTIF($B$5:$B$124,B17)&gt;1,"Duplicate Reference",IF(E17="","Missing in Internal Ledger",IF(F17="","Missing in Bank",IF(ABS(K17)&gt;Rules!$C$5,"Amount Mismatch",IF(OR(G17="Pending",H17="Pending",H17="Missing"),"Status Mismatch","No Exception")))))</x:f>
        <x:v>Status Mismatch</x:v>
      </x:c>
      <x:c r="N17" t="str">
        <x:f>IF(J17&gt;=Rules!$C$10,"Red &gt;7d",IF(J17&gt;=Rules!$C$9,"Amber 3-6d","Green 0-2d"))</x:f>
        <x:v>Amber 3-6d</x:v>
      </x:c>
      <x:c r="O17" t="str">
        <x:f>IF(OR(N17="Red &gt;7d",M17="Missing in Bank",M17="Missing in Internal Ledger"),"P13",IF(OR(M17="Amount Mismatch",M17="Duplicate Reference"),"P14","P15"))</x:f>
        <x:v>P15</x:v>
      </x:c>
      <x:c r="P17" t="str">
        <x:f>IF(M17="No Exception","NA",IF(M17="Amount Mismatch","Fee/settlement difference",IF(M17="Duplicate Reference","Duplicate posting or retry",IF(M17="Missing in Bank","Settlement delay",IF(M17="Missing in Internal Ledger","Posting/integration issue","Status timing gap")))))</x:f>
        <x:v>Status timing gap</x:v>
      </x:c>
      <x:c r="Q17" t="str">
        <x:f>IF(M17="No Exception","No action",IF(O17="P13","Escalate today",IF(O17="P14","Investigate within 48 hrs","Monitor in next batch")))</x:f>
        <x:v>Monitor in next batch</x:v>
      </x:c>
    </x:row>
    <x:row r="18">
      <x:c r="A18" s="88" t="n">
        <x:v>46121</x:v>
      </x:c>
      <x:c r="B18" t="str">
        <x:v>TXN100014</x:v>
      </x:c>
      <x:c r="C18" t="str">
        <x:v>EduNext</x:v>
      </x:c>
      <x:c r="D18" t="str">
        <x:v>UPI</x:v>
      </x:c>
      <x:c r="E18" s="90" t="n">
        <x:v>16730</x:v>
      </x:c>
      <x:c r="F18" s="90" t="n">
        <x:v>16730</x:v>
      </x:c>
      <x:c r="G18" t="str">
        <x:v>Posted</x:v>
      </x:c>
      <x:c r="H18" t="str">
        <x:v>Settled</x:v>
      </x:c>
      <x:c r="I18" t="str">
        <x:v>Merchant Ops</x:v>
      </x:c>
      <x:c r="J18" t="n">
        <x:v>0</x:v>
      </x:c>
      <x:c r="K18" s="90" t="n">
        <x:f>IF(OR(E18="",F18=""),"",F18-E18)</x:f>
        <x:v>0</x:v>
      </x:c>
      <x:c r="L18" t="str">
        <x:f>IF(M18="No Exception","Matched","Exception")</x:f>
        <x:v>Matched</x:v>
      </x:c>
      <x:c r="M18" t="str">
        <x:f>IF(COUNTIF($B$5:$B$124,B18)&gt;1,"Duplicate Reference",IF(E18="","Missing in Internal Ledger",IF(F18="","Missing in Bank",IF(ABS(K18)&gt;Rules!$C$5,"Amount Mismatch",IF(OR(G18="Pending",H18="Pending",H18="Missing"),"Status Mismatch","No Exception")))))</x:f>
        <x:v>No Exception</x:v>
      </x:c>
      <x:c r="N18" t="str">
        <x:f>IF(J18&gt;=Rules!$C$10,"Red &gt;7d",IF(J18&gt;=Rules!$C$9,"Amber 3-6d","Green 0-2d"))</x:f>
        <x:v>Green 0-2d</x:v>
      </x:c>
      <x:c r="O18" t="str">
        <x:f>IF(OR(N18="Red &gt;7d",M18="Missing in Bank",M18="Missing in Internal Ledger"),"P14",IF(OR(M18="Amount Mismatch",M18="Duplicate Reference"),"P15","P16"))</x:f>
        <x:v>P16</x:v>
      </x:c>
      <x:c r="P18" t="str">
        <x:f>IF(M18="No Exception","NA",IF(M18="Amount Mismatch","Fee/settlement difference",IF(M18="Duplicate Reference","Duplicate posting or retry",IF(M18="Missing in Bank","Settlement delay",IF(M18="Missing in Internal Ledger","Posting/integration issue","Status timing gap")))))</x:f>
        <x:v>NA</x:v>
      </x:c>
      <x:c r="Q18" t="str">
        <x:f>IF(M18="No Exception","No action",IF(O18="P14","Escalate today",IF(O18="P15","Investigate within 48 hrs","Monitor in next batch")))</x:f>
        <x:v>No action</x:v>
      </x:c>
    </x:row>
    <x:row r="19">
      <x:c r="A19" s="88" t="n">
        <x:v>46142</x:v>
      </x:c>
      <x:c r="B19" t="str">
        <x:v>TXN100015</x:v>
      </x:c>
      <x:c r="C19" t="str">
        <x:v>MetroPay</x:v>
      </x:c>
      <x:c r="D19" t="str">
        <x:v>Cards</x:v>
      </x:c>
      <x:c r="E19" s="90" t="n">
        <x:v>3767</x:v>
      </x:c>
      <x:c r="F19" s="90" t="n">
        <x:v>3767</x:v>
      </x:c>
      <x:c r="G19" t="str">
        <x:v>Posted</x:v>
      </x:c>
      <x:c r="H19" t="str">
        <x:v>Settled</x:v>
      </x:c>
      <x:c r="I19" t="str">
        <x:v>Merchant Ops</x:v>
      </x:c>
      <x:c r="J19" t="n">
        <x:v>8</x:v>
      </x:c>
      <x:c r="K19" s="90" t="n">
        <x:f>IF(OR(E19="",F19=""),"",F19-E19)</x:f>
        <x:v>0</x:v>
      </x:c>
      <x:c r="L19" t="str">
        <x:f>IF(M19="No Exception","Matched","Exception")</x:f>
        <x:v>Matched</x:v>
      </x:c>
      <x:c r="M19" t="str">
        <x:f>IF(COUNTIF($B$5:$B$124,B19)&gt;1,"Duplicate Reference",IF(E19="","Missing in Internal Ledger",IF(F19="","Missing in Bank",IF(ABS(K19)&gt;Rules!$C$5,"Amount Mismatch",IF(OR(G19="Pending",H19="Pending",H19="Missing"),"Status Mismatch","No Exception")))))</x:f>
        <x:v>No Exception</x:v>
      </x:c>
      <x:c r="N19" t="str">
        <x:f>IF(J19&gt;=Rules!$C$10,"Red &gt;7d",IF(J19&gt;=Rules!$C$9,"Amber 3-6d","Green 0-2d"))</x:f>
        <x:v>Red &gt;7d</x:v>
      </x:c>
      <x:c r="O19" t="str">
        <x:f>IF(OR(N19="Red &gt;7d",M19="Missing in Bank",M19="Missing in Internal Ledger"),"P15",IF(OR(M19="Amount Mismatch",M19="Duplicate Reference"),"P16","P17"))</x:f>
        <x:v>P15</x:v>
      </x:c>
      <x:c r="P19" t="str">
        <x:f>IF(M19="No Exception","NA",IF(M19="Amount Mismatch","Fee/settlement difference",IF(M19="Duplicate Reference","Duplicate posting or retry",IF(M19="Missing in Bank","Settlement delay",IF(M19="Missing in Internal Ledger","Posting/integration issue","Status timing gap")))))</x:f>
        <x:v>NA</x:v>
      </x:c>
      <x:c r="Q19" t="str">
        <x:f>IF(M19="No Exception","No action",IF(O19="P15","Escalate today",IF(O19="P16","Investigate within 48 hrs","Monitor in next batch")))</x:f>
        <x:v>No action</x:v>
      </x:c>
    </x:row>
    <x:row r="20">
      <x:c r="A20" s="88" t="n">
        <x:v>46143</x:v>
      </x:c>
      <x:c r="B20" t="str">
        <x:v>TXN100016</x:v>
      </x:c>
      <x:c r="C20" t="str">
        <x:v>QuickRide</x:v>
      </x:c>
      <x:c r="D20" t="str">
        <x:v>Wallet</x:v>
      </x:c>
      <x:c r="E20" s="90" t="n">
        <x:v>5558</x:v>
      </x:c>
      <x:c r="F20" s="90" t="n">
        <x:v>5558</x:v>
      </x:c>
      <x:c r="G20" t="str">
        <x:v>Posted</x:v>
      </x:c>
      <x:c r="H20" t="str">
        <x:v>Settled</x:v>
      </x:c>
      <x:c r="I20" t="str">
        <x:v>Merchant Ops</x:v>
      </x:c>
      <x:c r="J20" t="n">
        <x:v>1</x:v>
      </x:c>
      <x:c r="K20" s="90" t="n">
        <x:f>IF(OR(E20="",F20=""),"",F20-E20)</x:f>
        <x:v>0</x:v>
      </x:c>
      <x:c r="L20" t="str">
        <x:f>IF(M20="No Exception","Matched","Exception")</x:f>
        <x:v>Matched</x:v>
      </x:c>
      <x:c r="M20" t="str">
        <x:f>IF(COUNTIF($B$5:$B$124,B20)&gt;1,"Duplicate Reference",IF(E20="","Missing in Internal Ledger",IF(F20="","Missing in Bank",IF(ABS(K20)&gt;Rules!$C$5,"Amount Mismatch",IF(OR(G20="Pending",H20="Pending",H20="Missing"),"Status Mismatch","No Exception")))))</x:f>
        <x:v>No Exception</x:v>
      </x:c>
      <x:c r="N20" t="str">
        <x:f>IF(J20&gt;=Rules!$C$10,"Red &gt;7d",IF(J20&gt;=Rules!$C$9,"Amber 3-6d","Green 0-2d"))</x:f>
        <x:v>Green 0-2d</x:v>
      </x:c>
      <x:c r="O20" t="str">
        <x:f>IF(OR(N20="Red &gt;7d",M20="Missing in Bank",M20="Missing in Internal Ledger"),"P16",IF(OR(M20="Amount Mismatch",M20="Duplicate Reference"),"P17","P18"))</x:f>
        <x:v>P18</x:v>
      </x:c>
      <x:c r="P20" t="str">
        <x:f>IF(M20="No Exception","NA",IF(M20="Amount Mismatch","Fee/settlement difference",IF(M20="Duplicate Reference","Duplicate posting or retry",IF(M20="Missing in Bank","Settlement delay",IF(M20="Missing in Internal Ledger","Posting/integration issue","Status timing gap")))))</x:f>
        <x:v>NA</x:v>
      </x:c>
      <x:c r="Q20" t="str">
        <x:f>IF(M20="No Exception","No action",IF(O20="P16","Escalate today",IF(O20="P17","Investigate within 48 hrs","Monitor in next batch")))</x:f>
        <x:v>No action</x:v>
      </x:c>
    </x:row>
    <x:row r="21">
      <x:c r="A21" s="88" t="n">
        <x:v>46156</x:v>
      </x:c>
      <x:c r="B21" t="str">
        <x:v>TXN100017</x:v>
      </x:c>
      <x:c r="C21" t="str">
        <x:v>TravelGo</x:v>
      </x:c>
      <x:c r="D21" t="str">
        <x:v>Wallet</x:v>
      </x:c>
      <x:c r="E21" s="90" t="n">
        <x:v>3131</x:v>
      </x:c>
      <x:c r="F21" s="90"/>
      <x:c r="G21" t="str">
        <x:v>Posted</x:v>
      </x:c>
      <x:c r="H21" t="str">
        <x:v>Missing</x:v>
      </x:c>
      <x:c r="I21" t="str">
        <x:v>Merchant Ops</x:v>
      </x:c>
      <x:c r="J21" t="n">
        <x:v>5</x:v>
      </x:c>
      <x:c r="K21" s="90" t="str">
        <x:f>IF(OR(E21="",F21=""),"",F21-E21)</x:f>
      </x:c>
      <x:c r="L21" t="str">
        <x:f>IF(M21="No Exception","Matched","Exception")</x:f>
        <x:v>Exception</x:v>
      </x:c>
      <x:c r="M21" t="str">
        <x:f>IF(COUNTIF($B$5:$B$124,B21)&gt;1,"Duplicate Reference",IF(E21="","Missing in Internal Ledger",IF(F21="","Missing in Bank",IF(ABS(K21)&gt;Rules!$C$5,"Amount Mismatch",IF(OR(G21="Pending",H21="Pending",H21="Missing"),"Status Mismatch","No Exception")))))</x:f>
        <x:v>Missing in Bank</x:v>
      </x:c>
      <x:c r="N21" t="str">
        <x:f>IF(J21&gt;=Rules!$C$10,"Red &gt;7d",IF(J21&gt;=Rules!$C$9,"Amber 3-6d","Green 0-2d"))</x:f>
        <x:v>Amber 3-6d</x:v>
      </x:c>
      <x:c r="O21" t="str">
        <x:f>IF(OR(N21="Red &gt;7d",M21="Missing in Bank",M21="Missing in Internal Ledger"),"P17",IF(OR(M21="Amount Mismatch",M21="Duplicate Reference"),"P18","P19"))</x:f>
        <x:v>P17</x:v>
      </x:c>
      <x:c r="P21" t="str">
        <x:f>IF(M21="No Exception","NA",IF(M21="Amount Mismatch","Fee/settlement difference",IF(M21="Duplicate Reference","Duplicate posting or retry",IF(M21="Missing in Bank","Settlement delay",IF(M21="Missing in Internal Ledger","Posting/integration issue","Status timing gap")))))</x:f>
        <x:v>Settlement delay</x:v>
      </x:c>
      <x:c r="Q21" t="str">
        <x:f>IF(M21="No Exception","No action",IF(O21="P17","Escalate today",IF(O21="P18","Investigate within 48 hrs","Monitor in next batch")))</x:f>
        <x:v>Escalate today</x:v>
      </x:c>
    </x:row>
    <x:row r="22">
      <x:c r="A22" s="88" t="n">
        <x:v>46152</x:v>
      </x:c>
      <x:c r="B22" t="str">
        <x:v>TXN100018</x:v>
      </x:c>
      <x:c r="C22" t="str">
        <x:v>ShopKart</x:v>
      </x:c>
      <x:c r="D22" t="str">
        <x:v>Cards</x:v>
      </x:c>
      <x:c r="E22" s="90" t="n">
        <x:v>18228</x:v>
      </x:c>
      <x:c r="F22" s="90" t="n">
        <x:v>18228</x:v>
      </x:c>
      <x:c r="G22" t="str">
        <x:v>Posted</x:v>
      </x:c>
      <x:c r="H22" t="str">
        <x:v>Settled</x:v>
      </x:c>
      <x:c r="I22" t="str">
        <x:v>Payments Ops</x:v>
      </x:c>
      <x:c r="J22" t="n">
        <x:v>0</x:v>
      </x:c>
      <x:c r="K22" s="90" t="n">
        <x:f>IF(OR(E22="",F22=""),"",F22-E22)</x:f>
        <x:v>0</x:v>
      </x:c>
      <x:c r="L22" t="str">
        <x:f>IF(M22="No Exception","Matched","Exception")</x:f>
        <x:v>Matched</x:v>
      </x:c>
      <x:c r="M22" t="str">
        <x:f>IF(COUNTIF($B$5:$B$124,B22)&gt;1,"Duplicate Reference",IF(E22="","Missing in Internal Ledger",IF(F22="","Missing in Bank",IF(ABS(K22)&gt;Rules!$C$5,"Amount Mismatch",IF(OR(G22="Pending",H22="Pending",H22="Missing"),"Status Mismatch","No Exception")))))</x:f>
        <x:v>No Exception</x:v>
      </x:c>
      <x:c r="N22" t="str">
        <x:f>IF(J22&gt;=Rules!$C$10,"Red &gt;7d",IF(J22&gt;=Rules!$C$9,"Amber 3-6d","Green 0-2d"))</x:f>
        <x:v>Green 0-2d</x:v>
      </x:c>
      <x:c r="O22" t="str">
        <x:f>IF(OR(N22="Red &gt;7d",M22="Missing in Bank",M22="Missing in Internal Ledger"),"P18",IF(OR(M22="Amount Mismatch",M22="Duplicate Reference"),"P19","P20"))</x:f>
        <x:v>P20</x:v>
      </x:c>
      <x:c r="P22" t="str">
        <x:f>IF(M22="No Exception","NA",IF(M22="Amount Mismatch","Fee/settlement difference",IF(M22="Duplicate Reference","Duplicate posting or retry",IF(M22="Missing in Bank","Settlement delay",IF(M22="Missing in Internal Ledger","Posting/integration issue","Status timing gap")))))</x:f>
        <x:v>NA</x:v>
      </x:c>
      <x:c r="Q22" t="str">
        <x:f>IF(M22="No Exception","No action",IF(O22="P18","Escalate today",IF(O22="P19","Investigate within 48 hrs","Monitor in next batch")))</x:f>
        <x:v>No action</x:v>
      </x:c>
    </x:row>
    <x:row r="23">
      <x:c r="A23" s="88" t="n">
        <x:v>46118</x:v>
      </x:c>
      <x:c r="B23" t="str">
        <x:v>TXN100019</x:v>
      </x:c>
      <x:c r="C23" t="str">
        <x:v>TravelGo</x:v>
      </x:c>
      <x:c r="D23" t="str">
        <x:v>UPI</x:v>
      </x:c>
      <x:c r="E23" s="90"/>
      <x:c r="F23" s="90" t="n">
        <x:v>7954</x:v>
      </x:c>
      <x:c r="G23" t="str">
        <x:v>Missing</x:v>
      </x:c>
      <x:c r="H23" t="str">
        <x:v>Settled</x:v>
      </x:c>
      <x:c r="I23" t="str">
        <x:v>Finance Ops</x:v>
      </x:c>
      <x:c r="J23" t="n">
        <x:v>11</x:v>
      </x:c>
      <x:c r="K23" s="90" t="str">
        <x:f>IF(OR(E23="",F23=""),"",F23-E23)</x:f>
      </x:c>
      <x:c r="L23" t="str">
        <x:f>IF(M23="No Exception","Matched","Exception")</x:f>
        <x:v>Exception</x:v>
      </x:c>
      <x:c r="M23" t="str">
        <x:f>IF(COUNTIF($B$5:$B$124,B23)&gt;1,"Duplicate Reference",IF(E23="","Missing in Internal Ledger",IF(F23="","Missing in Bank",IF(ABS(K23)&gt;Rules!$C$5,"Amount Mismatch",IF(OR(G23="Pending",H23="Pending",H23="Missing"),"Status Mismatch","No Exception")))))</x:f>
        <x:v>Missing in Internal Ledger</x:v>
      </x:c>
      <x:c r="N23" t="str">
        <x:f>IF(J23&gt;=Rules!$C$10,"Red &gt;7d",IF(J23&gt;=Rules!$C$9,"Amber 3-6d","Green 0-2d"))</x:f>
        <x:v>Red &gt;7d</x:v>
      </x:c>
      <x:c r="O23" t="str">
        <x:f>IF(OR(N23="Red &gt;7d",M23="Missing in Bank",M23="Missing in Internal Ledger"),"P19",IF(OR(M23="Amount Mismatch",M23="Duplicate Reference"),"P20","P21"))</x:f>
        <x:v>P19</x:v>
      </x:c>
      <x:c r="P23" t="str">
        <x:f>IF(M23="No Exception","NA",IF(M23="Amount Mismatch","Fee/settlement difference",IF(M23="Duplicate Reference","Duplicate posting or retry",IF(M23="Missing in Bank","Settlement delay",IF(M23="Missing in Internal Ledger","Posting/integration issue","Status timing gap")))))</x:f>
        <x:v>Posting/integration issue</x:v>
      </x:c>
      <x:c r="Q23" t="str">
        <x:f>IF(M23="No Exception","No action",IF(O23="P19","Escalate today",IF(O23="P20","Investigate within 48 hrs","Monitor in next batch")))</x:f>
        <x:v>Escalate today</x:v>
      </x:c>
    </x:row>
    <x:row r="24">
      <x:c r="A24" s="88" t="n">
        <x:v>46157</x:v>
      </x:c>
      <x:c r="B24" t="str">
        <x:v>TXN100020</x:v>
      </x:c>
      <x:c r="C24" t="str">
        <x:v>QuickRide</x:v>
      </x:c>
      <x:c r="D24" t="str">
        <x:v>UPI</x:v>
      </x:c>
      <x:c r="E24" s="90" t="n">
        <x:v>15038</x:v>
      </x:c>
      <x:c r="F24" s="90" t="n">
        <x:v>15038</x:v>
      </x:c>
      <x:c r="G24" t="str">
        <x:v>Posted</x:v>
      </x:c>
      <x:c r="H24" t="str">
        <x:v>Settled</x:v>
      </x:c>
      <x:c r="I24" t="str">
        <x:v>Finance Ops</x:v>
      </x:c>
      <x:c r="J24" t="n">
        <x:v>2</x:v>
      </x:c>
      <x:c r="K24" s="90" t="n">
        <x:f>IF(OR(E24="",F24=""),"",F24-E24)</x:f>
        <x:v>0</x:v>
      </x:c>
      <x:c r="L24" t="str">
        <x:f>IF(M24="No Exception","Matched","Exception")</x:f>
        <x:v>Matched</x:v>
      </x:c>
      <x:c r="M24" t="str">
        <x:f>IF(COUNTIF($B$5:$B$124,B24)&gt;1,"Duplicate Reference",IF(E24="","Missing in Internal Ledger",IF(F24="","Missing in Bank",IF(ABS(K24)&gt;Rules!$C$5,"Amount Mismatch",IF(OR(G24="Pending",H24="Pending",H24="Missing"),"Status Mismatch","No Exception")))))</x:f>
        <x:v>No Exception</x:v>
      </x:c>
      <x:c r="N24" t="str">
        <x:f>IF(J24&gt;=Rules!$C$10,"Red &gt;7d",IF(J24&gt;=Rules!$C$9,"Amber 3-6d","Green 0-2d"))</x:f>
        <x:v>Green 0-2d</x:v>
      </x:c>
      <x:c r="O24" t="str">
        <x:f>IF(OR(N24="Red &gt;7d",M24="Missing in Bank",M24="Missing in Internal Ledger"),"P20",IF(OR(M24="Amount Mismatch",M24="Duplicate Reference"),"P21","P22"))</x:f>
        <x:v>P22</x:v>
      </x:c>
      <x:c r="P24" t="str">
        <x:f>IF(M24="No Exception","NA",IF(M24="Amount Mismatch","Fee/settlement difference",IF(M24="Duplicate Reference","Duplicate posting or retry",IF(M24="Missing in Bank","Settlement delay",IF(M24="Missing in Internal Ledger","Posting/integration issue","Status timing gap")))))</x:f>
        <x:v>NA</x:v>
      </x:c>
      <x:c r="Q24" t="str">
        <x:f>IF(M24="No Exception","No action",IF(O24="P20","Escalate today",IF(O24="P21","Investigate within 48 hrs","Monitor in next batch")))</x:f>
        <x:v>No action</x:v>
      </x:c>
    </x:row>
    <x:row r="25">
      <x:c r="A25" s="88" t="n">
        <x:v>46116</x:v>
      </x:c>
      <x:c r="B25" t="str">
        <x:v>TXN100021</x:v>
      </x:c>
      <x:c r="C25" t="str">
        <x:v>QuickRide</x:v>
      </x:c>
      <x:c r="D25" t="str">
        <x:v>Wallet</x:v>
      </x:c>
      <x:c r="E25" s="90" t="n">
        <x:v>11129</x:v>
      </x:c>
      <x:c r="F25" s="90" t="n">
        <x:v>11129</x:v>
      </x:c>
      <x:c r="G25" t="str">
        <x:v>Posted</x:v>
      </x:c>
      <x:c r="H25" t="str">
        <x:v>Settled</x:v>
      </x:c>
      <x:c r="I25" t="str">
        <x:v>Payments Ops</x:v>
      </x:c>
      <x:c r="J25" t="n">
        <x:v>12</x:v>
      </x:c>
      <x:c r="K25" s="90" t="n">
        <x:f>IF(OR(E25="",F25=""),"",F25-E25)</x:f>
        <x:v>0</x:v>
      </x:c>
      <x:c r="L25" t="str">
        <x:f>IF(M25="No Exception","Matched","Exception")</x:f>
        <x:v>Exception</x:v>
      </x:c>
      <x:c r="M25" t="str">
        <x:f>IF(COUNTIF($B$5:$B$124,B25)&gt;1,"Duplicate Reference",IF(E25="","Missing in Internal Ledger",IF(F25="","Missing in Bank",IF(ABS(K25)&gt;Rules!$C$5,"Amount Mismatch",IF(OR(G25="Pending",H25="Pending",H25="Missing"),"Status Mismatch","No Exception")))))</x:f>
        <x:v>Duplicate Reference</x:v>
      </x:c>
      <x:c r="N25" t="str">
        <x:f>IF(J25&gt;=Rules!$C$10,"Red &gt;7d",IF(J25&gt;=Rules!$C$9,"Amber 3-6d","Green 0-2d"))</x:f>
        <x:v>Red &gt;7d</x:v>
      </x:c>
      <x:c r="O25" t="str">
        <x:f>IF(OR(N25="Red &gt;7d",M25="Missing in Bank",M25="Missing in Internal Ledger"),"P21",IF(OR(M25="Amount Mismatch",M25="Duplicate Reference"),"P22","P23"))</x:f>
        <x:v>P21</x:v>
      </x:c>
      <x:c r="P25" t="str">
        <x:f>IF(M25="No Exception","NA",IF(M25="Amount Mismatch","Fee/settlement difference",IF(M25="Duplicate Reference","Duplicate posting or retry",IF(M25="Missing in Bank","Settlement delay",IF(M25="Missing in Internal Ledger","Posting/integration issue","Status timing gap")))))</x:f>
        <x:v>Duplicate posting or retry</x:v>
      </x:c>
      <x:c r="Q25" t="str">
        <x:f>IF(M25="No Exception","No action",IF(O25="P21","Escalate today",IF(O25="P22","Investigate within 48 hrs","Monitor in next batch")))</x:f>
        <x:v>Escalate today</x:v>
      </x:c>
    </x:row>
    <x:row r="26">
      <x:c r="A26" s="88" t="n">
        <x:v>46146</x:v>
      </x:c>
      <x:c r="B26" t="str">
        <x:v>TXN100021</x:v>
      </x:c>
      <x:c r="C26" t="str">
        <x:v>TravelGo</x:v>
      </x:c>
      <x:c r="D26" t="str">
        <x:v>Cards</x:v>
      </x:c>
      <x:c r="E26" s="90" t="n">
        <x:v>14612</x:v>
      </x:c>
      <x:c r="F26" s="90" t="n">
        <x:v>14587</x:v>
      </x:c>
      <x:c r="G26" t="str">
        <x:v>Posted</x:v>
      </x:c>
      <x:c r="H26" t="str">
        <x:v>Settled</x:v>
      </x:c>
      <x:c r="I26" t="str">
        <x:v>Risk Ops</x:v>
      </x:c>
      <x:c r="J26" t="n">
        <x:v>3</x:v>
      </x:c>
      <x:c r="K26" s="90" t="n">
        <x:f>IF(OR(E26="",F26=""),"",F26-E26)</x:f>
        <x:v>-25</x:v>
      </x:c>
      <x:c r="L26" t="str">
        <x:f>IF(M26="No Exception","Matched","Exception")</x:f>
        <x:v>Exception</x:v>
      </x:c>
      <x:c r="M26" t="str">
        <x:f>IF(COUNTIF($B$5:$B$124,B26)&gt;1,"Duplicate Reference",IF(E26="","Missing in Internal Ledger",IF(F26="","Missing in Bank",IF(ABS(K26)&gt;Rules!$C$5,"Amount Mismatch",IF(OR(G26="Pending",H26="Pending",H26="Missing"),"Status Mismatch","No Exception")))))</x:f>
        <x:v>Duplicate Reference</x:v>
      </x:c>
      <x:c r="N26" t="str">
        <x:f>IF(J26&gt;=Rules!$C$10,"Red &gt;7d",IF(J26&gt;=Rules!$C$9,"Amber 3-6d","Green 0-2d"))</x:f>
        <x:v>Amber 3-6d</x:v>
      </x:c>
      <x:c r="O26" t="str">
        <x:f>IF(OR(N26="Red &gt;7d",M26="Missing in Bank",M26="Missing in Internal Ledger"),"P22",IF(OR(M26="Amount Mismatch",M26="Duplicate Reference"),"P23","P24"))</x:f>
        <x:v>P23</x:v>
      </x:c>
      <x:c r="P26" t="str">
        <x:f>IF(M26="No Exception","NA",IF(M26="Amount Mismatch","Fee/settlement difference",IF(M26="Duplicate Reference","Duplicate posting or retry",IF(M26="Missing in Bank","Settlement delay",IF(M26="Missing in Internal Ledger","Posting/integration issue","Status timing gap")))))</x:f>
        <x:v>Duplicate posting or retry</x:v>
      </x:c>
      <x:c r="Q26" t="str">
        <x:f>IF(M26="No Exception","No action",IF(O26="P22","Escalate today",IF(O26="P23","Investigate within 48 hrs","Monitor in next batch")))</x:f>
        <x:v>Investigate within 48 hrs</x:v>
      </x:c>
    </x:row>
    <x:row r="27">
      <x:c r="A27" s="88" t="n">
        <x:v>46152</x:v>
      </x:c>
      <x:c r="B27" t="str">
        <x:v>TXN100021</x:v>
      </x:c>
      <x:c r="C27" t="str">
        <x:v>TravelGo</x:v>
      </x:c>
      <x:c r="D27" t="str">
        <x:v>Cards</x:v>
      </x:c>
      <x:c r="E27" s="90" t="n">
        <x:v>6236</x:v>
      </x:c>
      <x:c r="F27" s="90" t="n">
        <x:v>6236</x:v>
      </x:c>
      <x:c r="G27" t="str">
        <x:v>Posted</x:v>
      </x:c>
      <x:c r="H27" t="str">
        <x:v>Settled</x:v>
      </x:c>
      <x:c r="I27" t="str">
        <x:v>Merchant Ops</x:v>
      </x:c>
      <x:c r="J27" t="n">
        <x:v>1</x:v>
      </x:c>
      <x:c r="K27" s="90" t="n">
        <x:f>IF(OR(E27="",F27=""),"",F27-E27)</x:f>
        <x:v>0</x:v>
      </x:c>
      <x:c r="L27" t="str">
        <x:f>IF(M27="No Exception","Matched","Exception")</x:f>
        <x:v>Exception</x:v>
      </x:c>
      <x:c r="M27" t="str">
        <x:f>IF(COUNTIF($B$5:$B$124,B27)&gt;1,"Duplicate Reference",IF(E27="","Missing in Internal Ledger",IF(F27="","Missing in Bank",IF(ABS(K27)&gt;Rules!$C$5,"Amount Mismatch",IF(OR(G27="Pending",H27="Pending",H27="Missing"),"Status Mismatch","No Exception")))))</x:f>
        <x:v>Duplicate Reference</x:v>
      </x:c>
      <x:c r="N27" t="str">
        <x:f>IF(J27&gt;=Rules!$C$10,"Red &gt;7d",IF(J27&gt;=Rules!$C$9,"Amber 3-6d","Green 0-2d"))</x:f>
        <x:v>Green 0-2d</x:v>
      </x:c>
      <x:c r="O27" t="str">
        <x:f>IF(OR(N27="Red &gt;7d",M27="Missing in Bank",M27="Missing in Internal Ledger"),"P23",IF(OR(M27="Amount Mismatch",M27="Duplicate Reference"),"P24","P25"))</x:f>
        <x:v>P24</x:v>
      </x:c>
      <x:c r="P27" t="str">
        <x:f>IF(M27="No Exception","NA",IF(M27="Amount Mismatch","Fee/settlement difference",IF(M27="Duplicate Reference","Duplicate posting or retry",IF(M27="Missing in Bank","Settlement delay",IF(M27="Missing in Internal Ledger","Posting/integration issue","Status timing gap")))))</x:f>
        <x:v>Duplicate posting or retry</x:v>
      </x:c>
      <x:c r="Q27" t="str">
        <x:f>IF(M27="No Exception","No action",IF(O27="P23","Escalate today",IF(O27="P24","Investigate within 48 hrs","Monitor in next batch")))</x:f>
        <x:v>Investigate within 48 hrs</x:v>
      </x:c>
    </x:row>
    <x:row r="28">
      <x:c r="A28" s="88" t="n">
        <x:v>46127</x:v>
      </x:c>
      <x:c r="B28" t="str">
        <x:v>TXN100024</x:v>
      </x:c>
      <x:c r="C28" t="str">
        <x:v>Fashio</x:v>
      </x:c>
      <x:c r="D28" t="str">
        <x:v>Wallet</x:v>
      </x:c>
      <x:c r="E28" s="90" t="n">
        <x:v>19608</x:v>
      </x:c>
      <x:c r="F28" s="90" t="n">
        <x:v>19608</x:v>
      </x:c>
      <x:c r="G28" t="str">
        <x:v>Posted</x:v>
      </x:c>
      <x:c r="H28" t="str">
        <x:v>Settled</x:v>
      </x:c>
      <x:c r="I28" t="str">
        <x:v>Merchant Ops</x:v>
      </x:c>
      <x:c r="J28" t="n">
        <x:v>2</x:v>
      </x:c>
      <x:c r="K28" s="90" t="n">
        <x:f>IF(OR(E28="",F28=""),"",F28-E28)</x:f>
        <x:v>0</x:v>
      </x:c>
      <x:c r="L28" t="str">
        <x:f>IF(M28="No Exception","Matched","Exception")</x:f>
        <x:v>Matched</x:v>
      </x:c>
      <x:c r="M28" t="str">
        <x:f>IF(COUNTIF($B$5:$B$124,B28)&gt;1,"Duplicate Reference",IF(E28="","Missing in Internal Ledger",IF(F28="","Missing in Bank",IF(ABS(K28)&gt;Rules!$C$5,"Amount Mismatch",IF(OR(G28="Pending",H28="Pending",H28="Missing"),"Status Mismatch","No Exception")))))</x:f>
        <x:v>No Exception</x:v>
      </x:c>
      <x:c r="N28" t="str">
        <x:f>IF(J28&gt;=Rules!$C$10,"Red &gt;7d",IF(J28&gt;=Rules!$C$9,"Amber 3-6d","Green 0-2d"))</x:f>
        <x:v>Green 0-2d</x:v>
      </x:c>
      <x:c r="O28" t="str">
        <x:f>IF(OR(N28="Red &gt;7d",M28="Missing in Bank",M28="Missing in Internal Ledger"),"P24",IF(OR(M28="Amount Mismatch",M28="Duplicate Reference"),"P25","P26"))</x:f>
        <x:v>P26</x:v>
      </x:c>
      <x:c r="P28" t="str">
        <x:f>IF(M28="No Exception","NA",IF(M28="Amount Mismatch","Fee/settlement difference",IF(M28="Duplicate Reference","Duplicate posting or retry",IF(M28="Missing in Bank","Settlement delay",IF(M28="Missing in Internal Ledger","Posting/integration issue","Status timing gap")))))</x:f>
        <x:v>NA</x:v>
      </x:c>
      <x:c r="Q28" t="str">
        <x:f>IF(M28="No Exception","No action",IF(O28="P24","Escalate today",IF(O28="P25","Investigate within 48 hrs","Monitor in next batch")))</x:f>
        <x:v>No action</x:v>
      </x:c>
    </x:row>
    <x:row r="29">
      <x:c r="A29" s="88" t="n">
        <x:v>46113</x:v>
      </x:c>
      <x:c r="B29" t="str">
        <x:v>TXN100025</x:v>
      </x:c>
      <x:c r="C29" t="str">
        <x:v>Fashio</x:v>
      </x:c>
      <x:c r="D29" t="str">
        <x:v>Wallet</x:v>
      </x:c>
      <x:c r="E29" s="90" t="n">
        <x:v>8866</x:v>
      </x:c>
      <x:c r="F29" s="90" t="n">
        <x:v>8866</x:v>
      </x:c>
      <x:c r="G29" t="str">
        <x:v>Posted</x:v>
      </x:c>
      <x:c r="H29" t="str">
        <x:v>Settled</x:v>
      </x:c>
      <x:c r="I29" t="str">
        <x:v>Risk Ops</x:v>
      </x:c>
      <x:c r="J29" t="n">
        <x:v>10</x:v>
      </x:c>
      <x:c r="K29" s="90" t="n">
        <x:f>IF(OR(E29="",F29=""),"",F29-E29)</x:f>
        <x:v>0</x:v>
      </x:c>
      <x:c r="L29" t="str">
        <x:f>IF(M29="No Exception","Matched","Exception")</x:f>
        <x:v>Matched</x:v>
      </x:c>
      <x:c r="M29" t="str">
        <x:f>IF(COUNTIF($B$5:$B$124,B29)&gt;1,"Duplicate Reference",IF(E29="","Missing in Internal Ledger",IF(F29="","Missing in Bank",IF(ABS(K29)&gt;Rules!$C$5,"Amount Mismatch",IF(OR(G29="Pending",H29="Pending",H29="Missing"),"Status Mismatch","No Exception")))))</x:f>
        <x:v>No Exception</x:v>
      </x:c>
      <x:c r="N29" t="str">
        <x:f>IF(J29&gt;=Rules!$C$10,"Red &gt;7d",IF(J29&gt;=Rules!$C$9,"Amber 3-6d","Green 0-2d"))</x:f>
        <x:v>Red &gt;7d</x:v>
      </x:c>
      <x:c r="O29" t="str">
        <x:f>IF(OR(N29="Red &gt;7d",M29="Missing in Bank",M29="Missing in Internal Ledger"),"P25",IF(OR(M29="Amount Mismatch",M29="Duplicate Reference"),"P26","P27"))</x:f>
        <x:v>P25</x:v>
      </x:c>
      <x:c r="P29" t="str">
        <x:f>IF(M29="No Exception","NA",IF(M29="Amount Mismatch","Fee/settlement difference",IF(M29="Duplicate Reference","Duplicate posting or retry",IF(M29="Missing in Bank","Settlement delay",IF(M29="Missing in Internal Ledger","Posting/integration issue","Status timing gap")))))</x:f>
        <x:v>NA</x:v>
      </x:c>
      <x:c r="Q29" t="str">
        <x:f>IF(M29="No Exception","No action",IF(O29="P25","Escalate today",IF(O29="P26","Investigate within 48 hrs","Monitor in next batch")))</x:f>
        <x:v>No action</x:v>
      </x:c>
    </x:row>
    <x:row r="30">
      <x:c r="A30" s="88" t="n">
        <x:v>46135</x:v>
      </x:c>
      <x:c r="B30" t="str">
        <x:v>TXN100026</x:v>
      </x:c>
      <x:c r="C30" t="str">
        <x:v>QuickRide</x:v>
      </x:c>
      <x:c r="D30" t="str">
        <x:v>NetBanking</x:v>
      </x:c>
      <x:c r="E30" s="90" t="n">
        <x:v>2920</x:v>
      </x:c>
      <x:c r="F30" s="90" t="n">
        <x:v>2920</x:v>
      </x:c>
      <x:c r="G30" t="str">
        <x:v>Pending</x:v>
      </x:c>
      <x:c r="H30" t="str">
        <x:v>Settled</x:v>
      </x:c>
      <x:c r="I30" t="str">
        <x:v>Payments Ops</x:v>
      </x:c>
      <x:c r="J30" t="n">
        <x:v>7</x:v>
      </x:c>
      <x:c r="K30" s="90" t="n">
        <x:f>IF(OR(E30="",F30=""),"",F30-E30)</x:f>
        <x:v>0</x:v>
      </x:c>
      <x:c r="L30" t="str">
        <x:f>IF(M30="No Exception","Matched","Exception")</x:f>
        <x:v>Exception</x:v>
      </x:c>
      <x:c r="M30" t="str">
        <x:f>IF(COUNTIF($B$5:$B$124,B30)&gt;1,"Duplicate Reference",IF(E30="","Missing in Internal Ledger",IF(F30="","Missing in Bank",IF(ABS(K30)&gt;Rules!$C$5,"Amount Mismatch",IF(OR(G30="Pending",H30="Pending",H30="Missing"),"Status Mismatch","No Exception")))))</x:f>
        <x:v>Status Mismatch</x:v>
      </x:c>
      <x:c r="N30" t="str">
        <x:f>IF(J30&gt;=Rules!$C$10,"Red &gt;7d",IF(J30&gt;=Rules!$C$9,"Amber 3-6d","Green 0-2d"))</x:f>
        <x:v>Red &gt;7d</x:v>
      </x:c>
      <x:c r="O30" t="str">
        <x:f>IF(OR(N30="Red &gt;7d",M30="Missing in Bank",M30="Missing in Internal Ledger"),"P26",IF(OR(M30="Amount Mismatch",M30="Duplicate Reference"),"P27","P28"))</x:f>
        <x:v>P26</x:v>
      </x:c>
      <x:c r="P30" t="str">
        <x:f>IF(M30="No Exception","NA",IF(M30="Amount Mismatch","Fee/settlement difference",IF(M30="Duplicate Reference","Duplicate posting or retry",IF(M30="Missing in Bank","Settlement delay",IF(M30="Missing in Internal Ledger","Posting/integration issue","Status timing gap")))))</x:f>
        <x:v>Status timing gap</x:v>
      </x:c>
      <x:c r="Q30" t="str">
        <x:f>IF(M30="No Exception","No action",IF(O30="P26","Escalate today",IF(O30="P27","Investigate within 48 hrs","Monitor in next batch")))</x:f>
        <x:v>Escalate today</x:v>
      </x:c>
    </x:row>
    <x:row r="31">
      <x:c r="A31" s="88" t="n">
        <x:v>46125</x:v>
      </x:c>
      <x:c r="B31" t="str">
        <x:v>TXN100027</x:v>
      </x:c>
      <x:c r="C31" t="str">
        <x:v>TravelGo</x:v>
      </x:c>
      <x:c r="D31" t="str">
        <x:v>NetBanking</x:v>
      </x:c>
      <x:c r="E31" s="90" t="n">
        <x:v>15469</x:v>
      </x:c>
      <x:c r="F31" s="90" t="n">
        <x:v>15469</x:v>
      </x:c>
      <x:c r="G31" t="str">
        <x:v>Posted</x:v>
      </x:c>
      <x:c r="H31" t="str">
        <x:v>Settled</x:v>
      </x:c>
      <x:c r="I31" t="str">
        <x:v>Finance Ops</x:v>
      </x:c>
      <x:c r="J31" t="n">
        <x:v>4</x:v>
      </x:c>
      <x:c r="K31" s="90" t="n">
        <x:f>IF(OR(E31="",F31=""),"",F31-E31)</x:f>
        <x:v>0</x:v>
      </x:c>
      <x:c r="L31" t="str">
        <x:f>IF(M31="No Exception","Matched","Exception")</x:f>
        <x:v>Matched</x:v>
      </x:c>
      <x:c r="M31" t="str">
        <x:f>IF(COUNTIF($B$5:$B$124,B31)&gt;1,"Duplicate Reference",IF(E31="","Missing in Internal Ledger",IF(F31="","Missing in Bank",IF(ABS(K31)&gt;Rules!$C$5,"Amount Mismatch",IF(OR(G31="Pending",H31="Pending",H31="Missing"),"Status Mismatch","No Exception")))))</x:f>
        <x:v>No Exception</x:v>
      </x:c>
      <x:c r="N31" t="str">
        <x:f>IF(J31&gt;=Rules!$C$10,"Red &gt;7d",IF(J31&gt;=Rules!$C$9,"Amber 3-6d","Green 0-2d"))</x:f>
        <x:v>Amber 3-6d</x:v>
      </x:c>
      <x:c r="O31" t="str">
        <x:f>IF(OR(N31="Red &gt;7d",M31="Missing in Bank",M31="Missing in Internal Ledger"),"P27",IF(OR(M31="Amount Mismatch",M31="Duplicate Reference"),"P28","P29"))</x:f>
        <x:v>P29</x:v>
      </x:c>
      <x:c r="P31" t="str">
        <x:f>IF(M31="No Exception","NA",IF(M31="Amount Mismatch","Fee/settlement difference",IF(M31="Duplicate Reference","Duplicate posting or retry",IF(M31="Missing in Bank","Settlement delay",IF(M31="Missing in Internal Ledger","Posting/integration issue","Status timing gap")))))</x:f>
        <x:v>NA</x:v>
      </x:c>
      <x:c r="Q31" t="str">
        <x:f>IF(M31="No Exception","No action",IF(O31="P27","Escalate today",IF(O31="P28","Investigate within 48 hrs","Monitor in next batch")))</x:f>
        <x:v>No action</x:v>
      </x:c>
    </x:row>
    <x:row r="32">
      <x:c r="A32" s="88" t="n">
        <x:v>46149</x:v>
      </x:c>
      <x:c r="B32" t="str">
        <x:v>TXN100028</x:v>
      </x:c>
      <x:c r="C32" t="str">
        <x:v>EduNext</x:v>
      </x:c>
      <x:c r="D32" t="str">
        <x:v>Wallet</x:v>
      </x:c>
      <x:c r="E32" s="90" t="n">
        <x:v>8272</x:v>
      </x:c>
      <x:c r="F32" s="90" t="n">
        <x:v>8272</x:v>
      </x:c>
      <x:c r="G32" t="str">
        <x:v>Posted</x:v>
      </x:c>
      <x:c r="H32" t="str">
        <x:v>Settled</x:v>
      </x:c>
      <x:c r="I32" t="str">
        <x:v>Payments Ops</x:v>
      </x:c>
      <x:c r="J32" t="n">
        <x:v>6</x:v>
      </x:c>
      <x:c r="K32" s="90" t="n">
        <x:f>IF(OR(E32="",F32=""),"",F32-E32)</x:f>
        <x:v>0</x:v>
      </x:c>
      <x:c r="L32" t="str">
        <x:f>IF(M32="No Exception","Matched","Exception")</x:f>
        <x:v>Matched</x:v>
      </x:c>
      <x:c r="M32" t="str">
        <x:f>IF(COUNTIF($B$5:$B$124,B32)&gt;1,"Duplicate Reference",IF(E32="","Missing in Internal Ledger",IF(F32="","Missing in Bank",IF(ABS(K32)&gt;Rules!$C$5,"Amount Mismatch",IF(OR(G32="Pending",H32="Pending",H32="Missing"),"Status Mismatch","No Exception")))))</x:f>
        <x:v>No Exception</x:v>
      </x:c>
      <x:c r="N32" t="str">
        <x:f>IF(J32&gt;=Rules!$C$10,"Red &gt;7d",IF(J32&gt;=Rules!$C$9,"Amber 3-6d","Green 0-2d"))</x:f>
        <x:v>Amber 3-6d</x:v>
      </x:c>
      <x:c r="O32" t="str">
        <x:f>IF(OR(N32="Red &gt;7d",M32="Missing in Bank",M32="Missing in Internal Ledger"),"P28",IF(OR(M32="Amount Mismatch",M32="Duplicate Reference"),"P29","P30"))</x:f>
        <x:v>P30</x:v>
      </x:c>
      <x:c r="P32" t="str">
        <x:f>IF(M32="No Exception","NA",IF(M32="Amount Mismatch","Fee/settlement difference",IF(M32="Duplicate Reference","Duplicate posting or retry",IF(M32="Missing in Bank","Settlement delay",IF(M32="Missing in Internal Ledger","Posting/integration issue","Status timing gap")))))</x:f>
        <x:v>NA</x:v>
      </x:c>
      <x:c r="Q32" t="str">
        <x:f>IF(M32="No Exception","No action",IF(O32="P28","Escalate today",IF(O32="P29","Investigate within 48 hrs","Monitor in next batch")))</x:f>
        <x:v>No action</x:v>
      </x:c>
    </x:row>
    <x:row r="33">
      <x:c r="A33" s="88" t="n">
        <x:v>46138</x:v>
      </x:c>
      <x:c r="B33" t="str">
        <x:v>TXN100029</x:v>
      </x:c>
      <x:c r="C33" t="str">
        <x:v>QuickRide</x:v>
      </x:c>
      <x:c r="D33" t="str">
        <x:v>UPI</x:v>
      </x:c>
      <x:c r="E33" s="90" t="n">
        <x:v>1218</x:v>
      </x:c>
      <x:c r="F33" s="90" t="n">
        <x:v>1218</x:v>
      </x:c>
      <x:c r="G33" t="str">
        <x:v>Posted</x:v>
      </x:c>
      <x:c r="H33" t="str">
        <x:v>Settled</x:v>
      </x:c>
      <x:c r="I33" t="str">
        <x:v>Finance Ops</x:v>
      </x:c>
      <x:c r="J33" t="n">
        <x:v>10</x:v>
      </x:c>
      <x:c r="K33" s="90" t="n">
        <x:f>IF(OR(E33="",F33=""),"",F33-E33)</x:f>
        <x:v>0</x:v>
      </x:c>
      <x:c r="L33" t="str">
        <x:f>IF(M33="No Exception","Matched","Exception")</x:f>
        <x:v>Matched</x:v>
      </x:c>
      <x:c r="M33" t="str">
        <x:f>IF(COUNTIF($B$5:$B$124,B33)&gt;1,"Duplicate Reference",IF(E33="","Missing in Internal Ledger",IF(F33="","Missing in Bank",IF(ABS(K33)&gt;Rules!$C$5,"Amount Mismatch",IF(OR(G33="Pending",H33="Pending",H33="Missing"),"Status Mismatch","No Exception")))))</x:f>
        <x:v>No Exception</x:v>
      </x:c>
      <x:c r="N33" t="str">
        <x:f>IF(J33&gt;=Rules!$C$10,"Red &gt;7d",IF(J33&gt;=Rules!$C$9,"Amber 3-6d","Green 0-2d"))</x:f>
        <x:v>Red &gt;7d</x:v>
      </x:c>
      <x:c r="O33" t="str">
        <x:f>IF(OR(N33="Red &gt;7d",M33="Missing in Bank",M33="Missing in Internal Ledger"),"P29",IF(OR(M33="Amount Mismatch",M33="Duplicate Reference"),"P30","P31"))</x:f>
        <x:v>P29</x:v>
      </x:c>
      <x:c r="P33" t="str">
        <x:f>IF(M33="No Exception","NA",IF(M33="Amount Mismatch","Fee/settlement difference",IF(M33="Duplicate Reference","Duplicate posting or retry",IF(M33="Missing in Bank","Settlement delay",IF(M33="Missing in Internal Ledger","Posting/integration issue","Status timing gap")))))</x:f>
        <x:v>NA</x:v>
      </x:c>
      <x:c r="Q33" t="str">
        <x:f>IF(M33="No Exception","No action",IF(O33="P29","Escalate today",IF(O33="P30","Investigate within 48 hrs","Monitor in next batch")))</x:f>
        <x:v>No action</x:v>
      </x:c>
    </x:row>
    <x:row r="34">
      <x:c r="A34" s="88" t="n">
        <x:v>46127</x:v>
      </x:c>
      <x:c r="B34" t="str">
        <x:v>TXN100030</x:v>
      </x:c>
      <x:c r="C34" t="str">
        <x:v>EduNext</x:v>
      </x:c>
      <x:c r="D34" t="str">
        <x:v>Cards</x:v>
      </x:c>
      <x:c r="E34" s="90" t="n">
        <x:v>16776</x:v>
      </x:c>
      <x:c r="F34" s="90" t="n">
        <x:v>16776</x:v>
      </x:c>
      <x:c r="G34" t="str">
        <x:v>Posted</x:v>
      </x:c>
      <x:c r="H34" t="str">
        <x:v>Settled</x:v>
      </x:c>
      <x:c r="I34" t="str">
        <x:v>Risk Ops</x:v>
      </x:c>
      <x:c r="J34" t="n">
        <x:v>4</x:v>
      </x:c>
      <x:c r="K34" s="90" t="n">
        <x:f>IF(OR(E34="",F34=""),"",F34-E34)</x:f>
        <x:v>0</x:v>
      </x:c>
      <x:c r="L34" t="str">
        <x:f>IF(M34="No Exception","Matched","Exception")</x:f>
        <x:v>Matched</x:v>
      </x:c>
      <x:c r="M34" t="str">
        <x:f>IF(COUNTIF($B$5:$B$124,B34)&gt;1,"Duplicate Reference",IF(E34="","Missing in Internal Ledger",IF(F34="","Missing in Bank",IF(ABS(K34)&gt;Rules!$C$5,"Amount Mismatch",IF(OR(G34="Pending",H34="Pending",H34="Missing"),"Status Mismatch","No Exception")))))</x:f>
        <x:v>No Exception</x:v>
      </x:c>
      <x:c r="N34" t="str">
        <x:f>IF(J34&gt;=Rules!$C$10,"Red &gt;7d",IF(J34&gt;=Rules!$C$9,"Amber 3-6d","Green 0-2d"))</x:f>
        <x:v>Amber 3-6d</x:v>
      </x:c>
      <x:c r="O34" t="str">
        <x:f>IF(OR(N34="Red &gt;7d",M34="Missing in Bank",M34="Missing in Internal Ledger"),"P30",IF(OR(M34="Amount Mismatch",M34="Duplicate Reference"),"P31","P32"))</x:f>
        <x:v>P32</x:v>
      </x:c>
      <x:c r="P34" t="str">
        <x:f>IF(M34="No Exception","NA",IF(M34="Amount Mismatch","Fee/settlement difference",IF(M34="Duplicate Reference","Duplicate posting or retry",IF(M34="Missing in Bank","Settlement delay",IF(M34="Missing in Internal Ledger","Posting/integration issue","Status timing gap")))))</x:f>
        <x:v>NA</x:v>
      </x:c>
      <x:c r="Q34" t="str">
        <x:f>IF(M34="No Exception","No action",IF(O34="P30","Escalate today",IF(O34="P31","Investigate within 48 hrs","Monitor in next batch")))</x:f>
        <x:v>No action</x:v>
      </x:c>
    </x:row>
    <x:row r="35">
      <x:c r="A35" s="88" t="n">
        <x:v>46155</x:v>
      </x:c>
      <x:c r="B35" t="str">
        <x:v>TXN100031</x:v>
      </x:c>
      <x:c r="C35" t="str">
        <x:v>CloudFoods</x:v>
      </x:c>
      <x:c r="D35" t="str">
        <x:v>UPI</x:v>
      </x:c>
      <x:c r="E35" s="90" t="n">
        <x:v>8712</x:v>
      </x:c>
      <x:c r="F35" s="90" t="n">
        <x:v>8712</x:v>
      </x:c>
      <x:c r="G35" t="str">
        <x:v>Posted</x:v>
      </x:c>
      <x:c r="H35" t="str">
        <x:v>Settled</x:v>
      </x:c>
      <x:c r="I35" t="str">
        <x:v>Finance Ops</x:v>
      </x:c>
      <x:c r="J35" t="n">
        <x:v>10</x:v>
      </x:c>
      <x:c r="K35" s="90" t="n">
        <x:f>IF(OR(E35="",F35=""),"",F35-E35)</x:f>
        <x:v>0</x:v>
      </x:c>
      <x:c r="L35" t="str">
        <x:f>IF(M35="No Exception","Matched","Exception")</x:f>
        <x:v>Matched</x:v>
      </x:c>
      <x:c r="M35" t="str">
        <x:f>IF(COUNTIF($B$5:$B$124,B35)&gt;1,"Duplicate Reference",IF(E35="","Missing in Internal Ledger",IF(F35="","Missing in Bank",IF(ABS(K35)&gt;Rules!$C$5,"Amount Mismatch",IF(OR(G35="Pending",H35="Pending",H35="Missing"),"Status Mismatch","No Exception")))))</x:f>
        <x:v>No Exception</x:v>
      </x:c>
      <x:c r="N35" t="str">
        <x:f>IF(J35&gt;=Rules!$C$10,"Red &gt;7d",IF(J35&gt;=Rules!$C$9,"Amber 3-6d","Green 0-2d"))</x:f>
        <x:v>Red &gt;7d</x:v>
      </x:c>
      <x:c r="O35" t="str">
        <x:f>IF(OR(N35="Red &gt;7d",M35="Missing in Bank",M35="Missing in Internal Ledger"),"P31",IF(OR(M35="Amount Mismatch",M35="Duplicate Reference"),"P32","P33"))</x:f>
        <x:v>P31</x:v>
      </x:c>
      <x:c r="P35" t="str">
        <x:f>IF(M35="No Exception","NA",IF(M35="Amount Mismatch","Fee/settlement difference",IF(M35="Duplicate Reference","Duplicate posting or retry",IF(M35="Missing in Bank","Settlement delay",IF(M35="Missing in Internal Ledger","Posting/integration issue","Status timing gap")))))</x:f>
        <x:v>NA</x:v>
      </x:c>
      <x:c r="Q35" t="str">
        <x:f>IF(M35="No Exception","No action",IF(O35="P31","Escalate today",IF(O35="P32","Investigate within 48 hrs","Monitor in next batch")))</x:f>
        <x:v>No action</x:v>
      </x:c>
    </x:row>
    <x:row r="36">
      <x:c r="A36" s="88" t="n">
        <x:v>46141</x:v>
      </x:c>
      <x:c r="B36" t="str">
        <x:v>TXN100032</x:v>
      </x:c>
      <x:c r="C36" t="str">
        <x:v>MetroPay</x:v>
      </x:c>
      <x:c r="D36" t="str">
        <x:v>Wallet</x:v>
      </x:c>
      <x:c r="E36" s="90" t="n">
        <x:v>10623</x:v>
      </x:c>
      <x:c r="F36" s="90" t="n">
        <x:v>10623</x:v>
      </x:c>
      <x:c r="G36" t="str">
        <x:v>Posted</x:v>
      </x:c>
      <x:c r="H36" t="str">
        <x:v>Settled</x:v>
      </x:c>
      <x:c r="I36" t="str">
        <x:v>Risk Ops</x:v>
      </x:c>
      <x:c r="J36" t="n">
        <x:v>12</x:v>
      </x:c>
      <x:c r="K36" s="90" t="n">
        <x:f>IF(OR(E36="",F36=""),"",F36-E36)</x:f>
        <x:v>0</x:v>
      </x:c>
      <x:c r="L36" t="str">
        <x:f>IF(M36="No Exception","Matched","Exception")</x:f>
        <x:v>Matched</x:v>
      </x:c>
      <x:c r="M36" t="str">
        <x:f>IF(COUNTIF($B$5:$B$124,B36)&gt;1,"Duplicate Reference",IF(E36="","Missing in Internal Ledger",IF(F36="","Missing in Bank",IF(ABS(K36)&gt;Rules!$C$5,"Amount Mismatch",IF(OR(G36="Pending",H36="Pending",H36="Missing"),"Status Mismatch","No Exception")))))</x:f>
        <x:v>No Exception</x:v>
      </x:c>
      <x:c r="N36" t="str">
        <x:f>IF(J36&gt;=Rules!$C$10,"Red &gt;7d",IF(J36&gt;=Rules!$C$9,"Amber 3-6d","Green 0-2d"))</x:f>
        <x:v>Red &gt;7d</x:v>
      </x:c>
      <x:c r="O36" t="str">
        <x:f>IF(OR(N36="Red &gt;7d",M36="Missing in Bank",M36="Missing in Internal Ledger"),"P32",IF(OR(M36="Amount Mismatch",M36="Duplicate Reference"),"P33","P34"))</x:f>
        <x:v>P32</x:v>
      </x:c>
      <x:c r="P36" t="str">
        <x:f>IF(M36="No Exception","NA",IF(M36="Amount Mismatch","Fee/settlement difference",IF(M36="Duplicate Reference","Duplicate posting or retry",IF(M36="Missing in Bank","Settlement delay",IF(M36="Missing in Internal Ledger","Posting/integration issue","Status timing gap")))))</x:f>
        <x:v>NA</x:v>
      </x:c>
      <x:c r="Q36" t="str">
        <x:f>IF(M36="No Exception","No action",IF(O36="P32","Escalate today",IF(O36="P33","Investigate within 48 hrs","Monitor in next batch")))</x:f>
        <x:v>No action</x:v>
      </x:c>
    </x:row>
    <x:row r="37">
      <x:c r="A37" s="88" t="n">
        <x:v>46139</x:v>
      </x:c>
      <x:c r="B37" t="str">
        <x:v>TXN100033</x:v>
      </x:c>
      <x:c r="C37" t="str">
        <x:v>CloudFoods</x:v>
      </x:c>
      <x:c r="D37" t="str">
        <x:v>Cards</x:v>
      </x:c>
      <x:c r="E37" s="90" t="n">
        <x:v>3453</x:v>
      </x:c>
      <x:c r="F37" s="90" t="n">
        <x:v>3488</x:v>
      </x:c>
      <x:c r="G37" t="str">
        <x:v>Posted</x:v>
      </x:c>
      <x:c r="H37" t="str">
        <x:v>Settled</x:v>
      </x:c>
      <x:c r="I37" t="str">
        <x:v>Risk Ops</x:v>
      </x:c>
      <x:c r="J37" t="n">
        <x:v>5</x:v>
      </x:c>
      <x:c r="K37" s="90" t="n">
        <x:f>IF(OR(E37="",F37=""),"",F37-E37)</x:f>
        <x:v>35</x:v>
      </x:c>
      <x:c r="L37" t="str">
        <x:f>IF(M37="No Exception","Matched","Exception")</x:f>
        <x:v>Exception</x:v>
      </x:c>
      <x:c r="M37" t="str">
        <x:f>IF(COUNTIF($B$5:$B$124,B37)&gt;1,"Duplicate Reference",IF(E37="","Missing in Internal Ledger",IF(F37="","Missing in Bank",IF(ABS(K37)&gt;Rules!$C$5,"Amount Mismatch",IF(OR(G37="Pending",H37="Pending",H37="Missing"),"Status Mismatch","No Exception")))))</x:f>
        <x:v>Amount Mismatch</x:v>
      </x:c>
      <x:c r="N37" t="str">
        <x:f>IF(J37&gt;=Rules!$C$10,"Red &gt;7d",IF(J37&gt;=Rules!$C$9,"Amber 3-6d","Green 0-2d"))</x:f>
        <x:v>Amber 3-6d</x:v>
      </x:c>
      <x:c r="O37" t="str">
        <x:f>IF(OR(N37="Red &gt;7d",M37="Missing in Bank",M37="Missing in Internal Ledger"),"P33",IF(OR(M37="Amount Mismatch",M37="Duplicate Reference"),"P34","P35"))</x:f>
        <x:v>P34</x:v>
      </x:c>
      <x:c r="P37" t="str">
        <x:f>IF(M37="No Exception","NA",IF(M37="Amount Mismatch","Fee/settlement difference",IF(M37="Duplicate Reference","Duplicate posting or retry",IF(M37="Missing in Bank","Settlement delay",IF(M37="Missing in Internal Ledger","Posting/integration issue","Status timing gap")))))</x:f>
        <x:v>Fee/settlement difference</x:v>
      </x:c>
      <x:c r="Q37" t="str">
        <x:f>IF(M37="No Exception","No action",IF(O37="P33","Escalate today",IF(O37="P34","Investigate within 48 hrs","Monitor in next batch")))</x:f>
        <x:v>Investigate within 48 hrs</x:v>
      </x:c>
    </x:row>
    <x:row r="38">
      <x:c r="A38" s="88" t="n">
        <x:v>46146</x:v>
      </x:c>
      <x:c r="B38" t="str">
        <x:v>TXN100034</x:v>
      </x:c>
      <x:c r="C38" t="str">
        <x:v>QuickRide</x:v>
      </x:c>
      <x:c r="D38" t="str">
        <x:v>Cards</x:v>
      </x:c>
      <x:c r="E38" s="90" t="n">
        <x:v>18175</x:v>
      </x:c>
      <x:c r="F38" s="90"/>
      <x:c r="G38" t="str">
        <x:v>Posted</x:v>
      </x:c>
      <x:c r="H38" t="str">
        <x:v>Missing</x:v>
      </x:c>
      <x:c r="I38" t="str">
        <x:v>Payments Ops</x:v>
      </x:c>
      <x:c r="J38" t="n">
        <x:v>5</x:v>
      </x:c>
      <x:c r="K38" s="90" t="str">
        <x:f>IF(OR(E38="",F38=""),"",F38-E38)</x:f>
      </x:c>
      <x:c r="L38" t="str">
        <x:f>IF(M38="No Exception","Matched","Exception")</x:f>
        <x:v>Exception</x:v>
      </x:c>
      <x:c r="M38" t="str">
        <x:f>IF(COUNTIF($B$5:$B$124,B38)&gt;1,"Duplicate Reference",IF(E38="","Missing in Internal Ledger",IF(F38="","Missing in Bank",IF(ABS(K38)&gt;Rules!$C$5,"Amount Mismatch",IF(OR(G38="Pending",H38="Pending",H38="Missing"),"Status Mismatch","No Exception")))))</x:f>
        <x:v>Missing in Bank</x:v>
      </x:c>
      <x:c r="N38" t="str">
        <x:f>IF(J38&gt;=Rules!$C$10,"Red &gt;7d",IF(J38&gt;=Rules!$C$9,"Amber 3-6d","Green 0-2d"))</x:f>
        <x:v>Amber 3-6d</x:v>
      </x:c>
      <x:c r="O38" t="str">
        <x:f>IF(OR(N38="Red &gt;7d",M38="Missing in Bank",M38="Missing in Internal Ledger"),"P34",IF(OR(M38="Amount Mismatch",M38="Duplicate Reference"),"P35","P36"))</x:f>
        <x:v>P34</x:v>
      </x:c>
      <x:c r="P38" t="str">
        <x:f>IF(M38="No Exception","NA",IF(M38="Amount Mismatch","Fee/settlement difference",IF(M38="Duplicate Reference","Duplicate posting or retry",IF(M38="Missing in Bank","Settlement delay",IF(M38="Missing in Internal Ledger","Posting/integration issue","Status timing gap")))))</x:f>
        <x:v>Settlement delay</x:v>
      </x:c>
      <x:c r="Q38" t="str">
        <x:f>IF(M38="No Exception","No action",IF(O38="P34","Escalate today",IF(O38="P35","Investigate within 48 hrs","Monitor in next batch")))</x:f>
        <x:v>Escalate today</x:v>
      </x:c>
    </x:row>
    <x:row r="39">
      <x:c r="A39" s="88" t="n">
        <x:v>46131</x:v>
      </x:c>
      <x:c r="B39" t="str">
        <x:v>TXN100035</x:v>
      </x:c>
      <x:c r="C39" t="str">
        <x:v>EduNext</x:v>
      </x:c>
      <x:c r="D39" t="str">
        <x:v>UPI</x:v>
      </x:c>
      <x:c r="E39" s="90" t="n">
        <x:v>16289</x:v>
      </x:c>
      <x:c r="F39" s="90" t="n">
        <x:v>16289</x:v>
      </x:c>
      <x:c r="G39" t="str">
        <x:v>Posted</x:v>
      </x:c>
      <x:c r="H39" t="str">
        <x:v>Settled</x:v>
      </x:c>
      <x:c r="I39" t="str">
        <x:v>Merchant Ops</x:v>
      </x:c>
      <x:c r="J39" t="n">
        <x:v>12</x:v>
      </x:c>
      <x:c r="K39" s="90" t="n">
        <x:f>IF(OR(E39="",F39=""),"",F39-E39)</x:f>
        <x:v>0</x:v>
      </x:c>
      <x:c r="L39" t="str">
        <x:f>IF(M39="No Exception","Matched","Exception")</x:f>
        <x:v>Matched</x:v>
      </x:c>
      <x:c r="M39" t="str">
        <x:f>IF(COUNTIF($B$5:$B$124,B39)&gt;1,"Duplicate Reference",IF(E39="","Missing in Internal Ledger",IF(F39="","Missing in Bank",IF(ABS(K39)&gt;Rules!$C$5,"Amount Mismatch",IF(OR(G39="Pending",H39="Pending",H39="Missing"),"Status Mismatch","No Exception")))))</x:f>
        <x:v>No Exception</x:v>
      </x:c>
      <x:c r="N39" t="str">
        <x:f>IF(J39&gt;=Rules!$C$10,"Red &gt;7d",IF(J39&gt;=Rules!$C$9,"Amber 3-6d","Green 0-2d"))</x:f>
        <x:v>Red &gt;7d</x:v>
      </x:c>
      <x:c r="O39" t="str">
        <x:f>IF(OR(N39="Red &gt;7d",M39="Missing in Bank",M39="Missing in Internal Ledger"),"P35",IF(OR(M39="Amount Mismatch",M39="Duplicate Reference"),"P36","P37"))</x:f>
        <x:v>P35</x:v>
      </x:c>
      <x:c r="P39" t="str">
        <x:f>IF(M39="No Exception","NA",IF(M39="Amount Mismatch","Fee/settlement difference",IF(M39="Duplicate Reference","Duplicate posting or retry",IF(M39="Missing in Bank","Settlement delay",IF(M39="Missing in Internal Ledger","Posting/integration issue","Status timing gap")))))</x:f>
        <x:v>NA</x:v>
      </x:c>
      <x:c r="Q39" t="str">
        <x:f>IF(M39="No Exception","No action",IF(O39="P35","Escalate today",IF(O39="P36","Investigate within 48 hrs","Monitor in next batch")))</x:f>
        <x:v>No action</x:v>
      </x:c>
    </x:row>
    <x:row r="40">
      <x:c r="A40" s="88" t="n">
        <x:v>46127</x:v>
      </x:c>
      <x:c r="B40" t="str">
        <x:v>TXN100036</x:v>
      </x:c>
      <x:c r="C40" t="str">
        <x:v>TravelGo</x:v>
      </x:c>
      <x:c r="D40" t="str">
        <x:v>Wallet</x:v>
      </x:c>
      <x:c r="E40" s="90" t="n">
        <x:v>2967</x:v>
      </x:c>
      <x:c r="F40" s="90" t="n">
        <x:v>2967</x:v>
      </x:c>
      <x:c r="G40" t="str">
        <x:v>Posted</x:v>
      </x:c>
      <x:c r="H40" t="str">
        <x:v>Settled</x:v>
      </x:c>
      <x:c r="I40" t="str">
        <x:v>Finance Ops</x:v>
      </x:c>
      <x:c r="J40" t="n">
        <x:v>2</x:v>
      </x:c>
      <x:c r="K40" s="90" t="n">
        <x:f>IF(OR(E40="",F40=""),"",F40-E40)</x:f>
        <x:v>0</x:v>
      </x:c>
      <x:c r="L40" t="str">
        <x:f>IF(M40="No Exception","Matched","Exception")</x:f>
        <x:v>Matched</x:v>
      </x:c>
      <x:c r="M40" t="str">
        <x:f>IF(COUNTIF($B$5:$B$124,B40)&gt;1,"Duplicate Reference",IF(E40="","Missing in Internal Ledger",IF(F40="","Missing in Bank",IF(ABS(K40)&gt;Rules!$C$5,"Amount Mismatch",IF(OR(G40="Pending",H40="Pending",H40="Missing"),"Status Mismatch","No Exception")))))</x:f>
        <x:v>No Exception</x:v>
      </x:c>
      <x:c r="N40" t="str">
        <x:f>IF(J40&gt;=Rules!$C$10,"Red &gt;7d",IF(J40&gt;=Rules!$C$9,"Amber 3-6d","Green 0-2d"))</x:f>
        <x:v>Green 0-2d</x:v>
      </x:c>
      <x:c r="O40" t="str">
        <x:f>IF(OR(N40="Red &gt;7d",M40="Missing in Bank",M40="Missing in Internal Ledger"),"P36",IF(OR(M40="Amount Mismatch",M40="Duplicate Reference"),"P37","P38"))</x:f>
        <x:v>P38</x:v>
      </x:c>
      <x:c r="P40" t="str">
        <x:f>IF(M40="No Exception","NA",IF(M40="Amount Mismatch","Fee/settlement difference",IF(M40="Duplicate Reference","Duplicate posting or retry",IF(M40="Missing in Bank","Settlement delay",IF(M40="Missing in Internal Ledger","Posting/integration issue","Status timing gap")))))</x:f>
        <x:v>NA</x:v>
      </x:c>
      <x:c r="Q40" t="str">
        <x:f>IF(M40="No Exception","No action",IF(O40="P36","Escalate today",IF(O40="P37","Investigate within 48 hrs","Monitor in next batch")))</x:f>
        <x:v>No action</x:v>
      </x:c>
    </x:row>
    <x:row r="41">
      <x:c r="A41" s="88" t="n">
        <x:v>46129</x:v>
      </x:c>
      <x:c r="B41" t="str">
        <x:v>TXN100037</x:v>
      </x:c>
      <x:c r="C41" t="str">
        <x:v>ShopKart</x:v>
      </x:c>
      <x:c r="D41" t="str">
        <x:v>NetBanking</x:v>
      </x:c>
      <x:c r="E41" s="90" t="n">
        <x:v>13429</x:v>
      </x:c>
      <x:c r="F41" s="90" t="n">
        <x:v>13429</x:v>
      </x:c>
      <x:c r="G41" t="str">
        <x:v>Posted</x:v>
      </x:c>
      <x:c r="H41" t="str">
        <x:v>Settled</x:v>
      </x:c>
      <x:c r="I41" t="str">
        <x:v>Payments Ops</x:v>
      </x:c>
      <x:c r="J41" t="n">
        <x:v>0</x:v>
      </x:c>
      <x:c r="K41" s="90" t="n">
        <x:f>IF(OR(E41="",F41=""),"",F41-E41)</x:f>
        <x:v>0</x:v>
      </x:c>
      <x:c r="L41" t="str">
        <x:f>IF(M41="No Exception","Matched","Exception")</x:f>
        <x:v>Matched</x:v>
      </x:c>
      <x:c r="M41" t="str">
        <x:f>IF(COUNTIF($B$5:$B$124,B41)&gt;1,"Duplicate Reference",IF(E41="","Missing in Internal Ledger",IF(F41="","Missing in Bank",IF(ABS(K41)&gt;Rules!$C$5,"Amount Mismatch",IF(OR(G41="Pending",H41="Pending",H41="Missing"),"Status Mismatch","No Exception")))))</x:f>
        <x:v>No Exception</x:v>
      </x:c>
      <x:c r="N41" t="str">
        <x:f>IF(J41&gt;=Rules!$C$10,"Red &gt;7d",IF(J41&gt;=Rules!$C$9,"Amber 3-6d","Green 0-2d"))</x:f>
        <x:v>Green 0-2d</x:v>
      </x:c>
      <x:c r="O41" t="str">
        <x:f>IF(OR(N41="Red &gt;7d",M41="Missing in Bank",M41="Missing in Internal Ledger"),"P37",IF(OR(M41="Amount Mismatch",M41="Duplicate Reference"),"P38","P39"))</x:f>
        <x:v>P39</x:v>
      </x:c>
      <x:c r="P41" t="str">
        <x:f>IF(M41="No Exception","NA",IF(M41="Amount Mismatch","Fee/settlement difference",IF(M41="Duplicate Reference","Duplicate posting or retry",IF(M41="Missing in Bank","Settlement delay",IF(M41="Missing in Internal Ledger","Posting/integration issue","Status timing gap")))))</x:f>
        <x:v>NA</x:v>
      </x:c>
      <x:c r="Q41" t="str">
        <x:f>IF(M41="No Exception","No action",IF(O41="P37","Escalate today",IF(O41="P38","Investigate within 48 hrs","Monitor in next batch")))</x:f>
        <x:v>No action</x:v>
      </x:c>
    </x:row>
    <x:row r="42">
      <x:c r="A42" s="88" t="n">
        <x:v>46137</x:v>
      </x:c>
      <x:c r="B42" t="str">
        <x:v>TXN100038</x:v>
      </x:c>
      <x:c r="C42" t="str">
        <x:v>EduNext</x:v>
      </x:c>
      <x:c r="D42" t="str">
        <x:v>UPI</x:v>
      </x:c>
      <x:c r="E42" s="90"/>
      <x:c r="F42" s="90" t="n">
        <x:v>9090</x:v>
      </x:c>
      <x:c r="G42" t="str">
        <x:v>Missing</x:v>
      </x:c>
      <x:c r="H42" t="str">
        <x:v>Settled</x:v>
      </x:c>
      <x:c r="I42" t="str">
        <x:v>Risk Ops</x:v>
      </x:c>
      <x:c r="J42" t="n">
        <x:v>9</x:v>
      </x:c>
      <x:c r="K42" s="90" t="str">
        <x:f>IF(OR(E42="",F42=""),"",F42-E42)</x:f>
      </x:c>
      <x:c r="L42" t="str">
        <x:f>IF(M42="No Exception","Matched","Exception")</x:f>
        <x:v>Exception</x:v>
      </x:c>
      <x:c r="M42" t="str">
        <x:f>IF(COUNTIF($B$5:$B$124,B42)&gt;1,"Duplicate Reference",IF(E42="","Missing in Internal Ledger",IF(F42="","Missing in Bank",IF(ABS(K42)&gt;Rules!$C$5,"Amount Mismatch",IF(OR(G42="Pending",H42="Pending",H42="Missing"),"Status Mismatch","No Exception")))))</x:f>
        <x:v>Missing in Internal Ledger</x:v>
      </x:c>
      <x:c r="N42" t="str">
        <x:f>IF(J42&gt;=Rules!$C$10,"Red &gt;7d",IF(J42&gt;=Rules!$C$9,"Amber 3-6d","Green 0-2d"))</x:f>
        <x:v>Red &gt;7d</x:v>
      </x:c>
      <x:c r="O42" t="str">
        <x:f>IF(OR(N42="Red &gt;7d",M42="Missing in Bank",M42="Missing in Internal Ledger"),"P38",IF(OR(M42="Amount Mismatch",M42="Duplicate Reference"),"P39","P40"))</x:f>
        <x:v>P38</x:v>
      </x:c>
      <x:c r="P42" t="str">
        <x:f>IF(M42="No Exception","NA",IF(M42="Amount Mismatch","Fee/settlement difference",IF(M42="Duplicate Reference","Duplicate posting or retry",IF(M42="Missing in Bank","Settlement delay",IF(M42="Missing in Internal Ledger","Posting/integration issue","Status timing gap")))))</x:f>
        <x:v>Posting/integration issue</x:v>
      </x:c>
      <x:c r="Q42" t="str">
        <x:f>IF(M42="No Exception","No action",IF(O42="P38","Escalate today",IF(O42="P39","Investigate within 48 hrs","Monitor in next batch")))</x:f>
        <x:v>Escalate today</x:v>
      </x:c>
    </x:row>
    <x:row r="43">
      <x:c r="A43" s="88" t="n">
        <x:v>46152</x:v>
      </x:c>
      <x:c r="B43" t="str">
        <x:v>TXN100039</x:v>
      </x:c>
      <x:c r="C43" t="str">
        <x:v>EduNext</x:v>
      </x:c>
      <x:c r="D43" t="str">
        <x:v>Cards</x:v>
      </x:c>
      <x:c r="E43" s="90" t="n">
        <x:v>15949</x:v>
      </x:c>
      <x:c r="F43" s="90" t="n">
        <x:v>15949</x:v>
      </x:c>
      <x:c r="G43" t="str">
        <x:v>Pending</x:v>
      </x:c>
      <x:c r="H43" t="str">
        <x:v>Settled</x:v>
      </x:c>
      <x:c r="I43" t="str">
        <x:v>Finance Ops</x:v>
      </x:c>
      <x:c r="J43" t="n">
        <x:v>0</x:v>
      </x:c>
      <x:c r="K43" s="90" t="n">
        <x:f>IF(OR(E43="",F43=""),"",F43-E43)</x:f>
        <x:v>0</x:v>
      </x:c>
      <x:c r="L43" t="str">
        <x:f>IF(M43="No Exception","Matched","Exception")</x:f>
        <x:v>Exception</x:v>
      </x:c>
      <x:c r="M43" t="str">
        <x:f>IF(COUNTIF($B$5:$B$124,B43)&gt;1,"Duplicate Reference",IF(E43="","Missing in Internal Ledger",IF(F43="","Missing in Bank",IF(ABS(K43)&gt;Rules!$C$5,"Amount Mismatch",IF(OR(G43="Pending",H43="Pending",H43="Missing"),"Status Mismatch","No Exception")))))</x:f>
        <x:v>Status Mismatch</x:v>
      </x:c>
      <x:c r="N43" t="str">
        <x:f>IF(J43&gt;=Rules!$C$10,"Red &gt;7d",IF(J43&gt;=Rules!$C$9,"Amber 3-6d","Green 0-2d"))</x:f>
        <x:v>Green 0-2d</x:v>
      </x:c>
      <x:c r="O43" t="str">
        <x:f>IF(OR(N43="Red &gt;7d",M43="Missing in Bank",M43="Missing in Internal Ledger"),"P39",IF(OR(M43="Amount Mismatch",M43="Duplicate Reference"),"P40","P41"))</x:f>
        <x:v>P41</x:v>
      </x:c>
      <x:c r="P43" t="str">
        <x:f>IF(M43="No Exception","NA",IF(M43="Amount Mismatch","Fee/settlement difference",IF(M43="Duplicate Reference","Duplicate posting or retry",IF(M43="Missing in Bank","Settlement delay",IF(M43="Missing in Internal Ledger","Posting/integration issue","Status timing gap")))))</x:f>
        <x:v>Status timing gap</x:v>
      </x:c>
      <x:c r="Q43" t="str">
        <x:f>IF(M43="No Exception","No action",IF(O43="P39","Escalate today",IF(O43="P40","Investigate within 48 hrs","Monitor in next batch")))</x:f>
        <x:v>Monitor in next batch</x:v>
      </x:c>
    </x:row>
    <x:row r="44">
      <x:c r="A44" s="88" t="n">
        <x:v>46132</x:v>
      </x:c>
      <x:c r="B44" t="str">
        <x:v>TXN100040</x:v>
      </x:c>
      <x:c r="C44" t="str">
        <x:v>TravelGo</x:v>
      </x:c>
      <x:c r="D44" t="str">
        <x:v>UPI</x:v>
      </x:c>
      <x:c r="E44" s="90" t="n">
        <x:v>15713</x:v>
      </x:c>
      <x:c r="F44" s="90" t="n">
        <x:v>15713</x:v>
      </x:c>
      <x:c r="G44" t="str">
        <x:v>Posted</x:v>
      </x:c>
      <x:c r="H44" t="str">
        <x:v>Settled</x:v>
      </x:c>
      <x:c r="I44" t="str">
        <x:v>Risk Ops</x:v>
      </x:c>
      <x:c r="J44" t="n">
        <x:v>11</x:v>
      </x:c>
      <x:c r="K44" s="90" t="n">
        <x:f>IF(OR(E44="",F44=""),"",F44-E44)</x:f>
        <x:v>0</x:v>
      </x:c>
      <x:c r="L44" t="str">
        <x:f>IF(M44="No Exception","Matched","Exception")</x:f>
        <x:v>Matched</x:v>
      </x:c>
      <x:c r="M44" t="str">
        <x:f>IF(COUNTIF($B$5:$B$124,B44)&gt;1,"Duplicate Reference",IF(E44="","Missing in Internal Ledger",IF(F44="","Missing in Bank",IF(ABS(K44)&gt;Rules!$C$5,"Amount Mismatch",IF(OR(G44="Pending",H44="Pending",H44="Missing"),"Status Mismatch","No Exception")))))</x:f>
        <x:v>No Exception</x:v>
      </x:c>
      <x:c r="N44" t="str">
        <x:f>IF(J44&gt;=Rules!$C$10,"Red &gt;7d",IF(J44&gt;=Rules!$C$9,"Amber 3-6d","Green 0-2d"))</x:f>
        <x:v>Red &gt;7d</x:v>
      </x:c>
      <x:c r="O44" t="str">
        <x:f>IF(OR(N44="Red &gt;7d",M44="Missing in Bank",M44="Missing in Internal Ledger"),"P40",IF(OR(M44="Amount Mismatch",M44="Duplicate Reference"),"P41","P42"))</x:f>
        <x:v>P40</x:v>
      </x:c>
      <x:c r="P44" t="str">
        <x:f>IF(M44="No Exception","NA",IF(M44="Amount Mismatch","Fee/settlement difference",IF(M44="Duplicate Reference","Duplicate posting or retry",IF(M44="Missing in Bank","Settlement delay",IF(M44="Missing in Internal Ledger","Posting/integration issue","Status timing gap")))))</x:f>
        <x:v>NA</x:v>
      </x:c>
      <x:c r="Q44" t="str">
        <x:f>IF(M44="No Exception","No action",IF(O44="P40","Escalate today",IF(O44="P41","Investigate within 48 hrs","Monitor in next batch")))</x:f>
        <x:v>No action</x:v>
      </x:c>
    </x:row>
    <x:row r="45">
      <x:c r="A45" s="88" t="n">
        <x:v>46132</x:v>
      </x:c>
      <x:c r="B45" t="str">
        <x:v>TXN100041</x:v>
      </x:c>
      <x:c r="C45" t="str">
        <x:v>Fashio</x:v>
      </x:c>
      <x:c r="D45" t="str">
        <x:v>UPI</x:v>
      </x:c>
      <x:c r="E45" s="90" t="n">
        <x:v>1985</x:v>
      </x:c>
      <x:c r="F45" s="90" t="n">
        <x:v>1985</x:v>
      </x:c>
      <x:c r="G45" t="str">
        <x:v>Posted</x:v>
      </x:c>
      <x:c r="H45" t="str">
        <x:v>Settled</x:v>
      </x:c>
      <x:c r="I45" t="str">
        <x:v>Finance Ops</x:v>
      </x:c>
      <x:c r="J45" t="n">
        <x:v>0</x:v>
      </x:c>
      <x:c r="K45" s="90" t="n">
        <x:f>IF(OR(E45="",F45=""),"",F45-E45)</x:f>
        <x:v>0</x:v>
      </x:c>
      <x:c r="L45" t="str">
        <x:f>IF(M45="No Exception","Matched","Exception")</x:f>
        <x:v>Matched</x:v>
      </x:c>
      <x:c r="M45" t="str">
        <x:f>IF(COUNTIF($B$5:$B$124,B45)&gt;1,"Duplicate Reference",IF(E45="","Missing in Internal Ledger",IF(F45="","Missing in Bank",IF(ABS(K45)&gt;Rules!$C$5,"Amount Mismatch",IF(OR(G45="Pending",H45="Pending",H45="Missing"),"Status Mismatch","No Exception")))))</x:f>
        <x:v>No Exception</x:v>
      </x:c>
      <x:c r="N45" t="str">
        <x:f>IF(J45&gt;=Rules!$C$10,"Red &gt;7d",IF(J45&gt;=Rules!$C$9,"Amber 3-6d","Green 0-2d"))</x:f>
        <x:v>Green 0-2d</x:v>
      </x:c>
      <x:c r="O45" t="str">
        <x:f>IF(OR(N45="Red &gt;7d",M45="Missing in Bank",M45="Missing in Internal Ledger"),"P41",IF(OR(M45="Amount Mismatch",M45="Duplicate Reference"),"P42","P43"))</x:f>
        <x:v>P43</x:v>
      </x:c>
      <x:c r="P45" t="str">
        <x:f>IF(M45="No Exception","NA",IF(M45="Amount Mismatch","Fee/settlement difference",IF(M45="Duplicate Reference","Duplicate posting or retry",IF(M45="Missing in Bank","Settlement delay",IF(M45="Missing in Internal Ledger","Posting/integration issue","Status timing gap")))))</x:f>
        <x:v>NA</x:v>
      </x:c>
      <x:c r="Q45" t="str">
        <x:f>IF(M45="No Exception","No action",IF(O45="P41","Escalate today",IF(O45="P42","Investigate within 48 hrs","Monitor in next batch")))</x:f>
        <x:v>No action</x:v>
      </x:c>
    </x:row>
    <x:row r="46">
      <x:c r="A46" s="88" t="n">
        <x:v>46121</x:v>
      </x:c>
      <x:c r="B46" t="str">
        <x:v>TXN100042</x:v>
      </x:c>
      <x:c r="C46" t="str">
        <x:v>TravelGo</x:v>
      </x:c>
      <x:c r="D46" t="str">
        <x:v>NetBanking</x:v>
      </x:c>
      <x:c r="E46" s="90" t="n">
        <x:v>8193</x:v>
      </x:c>
      <x:c r="F46" s="90" t="n">
        <x:v>8193</x:v>
      </x:c>
      <x:c r="G46" t="str">
        <x:v>Posted</x:v>
      </x:c>
      <x:c r="H46" t="str">
        <x:v>Settled</x:v>
      </x:c>
      <x:c r="I46" t="str">
        <x:v>Payments Ops</x:v>
      </x:c>
      <x:c r="J46" t="n">
        <x:v>8</x:v>
      </x:c>
      <x:c r="K46" s="90" t="n">
        <x:f>IF(OR(E46="",F46=""),"",F46-E46)</x:f>
        <x:v>0</x:v>
      </x:c>
      <x:c r="L46" t="str">
        <x:f>IF(M46="No Exception","Matched","Exception")</x:f>
        <x:v>Matched</x:v>
      </x:c>
      <x:c r="M46" t="str">
        <x:f>IF(COUNTIF($B$5:$B$124,B46)&gt;1,"Duplicate Reference",IF(E46="","Missing in Internal Ledger",IF(F46="","Missing in Bank",IF(ABS(K46)&gt;Rules!$C$5,"Amount Mismatch",IF(OR(G46="Pending",H46="Pending",H46="Missing"),"Status Mismatch","No Exception")))))</x:f>
        <x:v>No Exception</x:v>
      </x:c>
      <x:c r="N46" t="str">
        <x:f>IF(J46&gt;=Rules!$C$10,"Red &gt;7d",IF(J46&gt;=Rules!$C$9,"Amber 3-6d","Green 0-2d"))</x:f>
        <x:v>Red &gt;7d</x:v>
      </x:c>
      <x:c r="O46" t="str">
        <x:f>IF(OR(N46="Red &gt;7d",M46="Missing in Bank",M46="Missing in Internal Ledger"),"P42",IF(OR(M46="Amount Mismatch",M46="Duplicate Reference"),"P43","P44"))</x:f>
        <x:v>P42</x:v>
      </x:c>
      <x:c r="P46" t="str">
        <x:f>IF(M46="No Exception","NA",IF(M46="Amount Mismatch","Fee/settlement difference",IF(M46="Duplicate Reference","Duplicate posting or retry",IF(M46="Missing in Bank","Settlement delay",IF(M46="Missing in Internal Ledger","Posting/integration issue","Status timing gap")))))</x:f>
        <x:v>NA</x:v>
      </x:c>
      <x:c r="Q46" t="str">
        <x:f>IF(M46="No Exception","No action",IF(O46="P42","Escalate today",IF(O46="P43","Investigate within 48 hrs","Monitor in next batch")))</x:f>
        <x:v>No action</x:v>
      </x:c>
    </x:row>
    <x:row r="47">
      <x:c r="A47" s="88" t="n">
        <x:v>46150</x:v>
      </x:c>
      <x:c r="B47" t="str">
        <x:v>TXN100043</x:v>
      </x:c>
      <x:c r="C47" t="str">
        <x:v>CloudFoods</x:v>
      </x:c>
      <x:c r="D47" t="str">
        <x:v>NetBanking</x:v>
      </x:c>
      <x:c r="E47" s="90" t="n">
        <x:v>18201</x:v>
      </x:c>
      <x:c r="F47" s="90" t="n">
        <x:v>18201</x:v>
      </x:c>
      <x:c r="G47" t="str">
        <x:v>Posted</x:v>
      </x:c>
      <x:c r="H47" t="str">
        <x:v>Settled</x:v>
      </x:c>
      <x:c r="I47" t="str">
        <x:v>Finance Ops</x:v>
      </x:c>
      <x:c r="J47" t="n">
        <x:v>6</x:v>
      </x:c>
      <x:c r="K47" s="90" t="n">
        <x:f>IF(OR(E47="",F47=""),"",F47-E47)</x:f>
        <x:v>0</x:v>
      </x:c>
      <x:c r="L47" t="str">
        <x:f>IF(M47="No Exception","Matched","Exception")</x:f>
        <x:v>Matched</x:v>
      </x:c>
      <x:c r="M47" t="str">
        <x:f>IF(COUNTIF($B$5:$B$124,B47)&gt;1,"Duplicate Reference",IF(E47="","Missing in Internal Ledger",IF(F47="","Missing in Bank",IF(ABS(K47)&gt;Rules!$C$5,"Amount Mismatch",IF(OR(G47="Pending",H47="Pending",H47="Missing"),"Status Mismatch","No Exception")))))</x:f>
        <x:v>No Exception</x:v>
      </x:c>
      <x:c r="N47" t="str">
        <x:f>IF(J47&gt;=Rules!$C$10,"Red &gt;7d",IF(J47&gt;=Rules!$C$9,"Amber 3-6d","Green 0-2d"))</x:f>
        <x:v>Amber 3-6d</x:v>
      </x:c>
      <x:c r="O47" t="str">
        <x:f>IF(OR(N47="Red &gt;7d",M47="Missing in Bank",M47="Missing in Internal Ledger"),"P43",IF(OR(M47="Amount Mismatch",M47="Duplicate Reference"),"P44","P45"))</x:f>
        <x:v>P45</x:v>
      </x:c>
      <x:c r="P47" t="str">
        <x:f>IF(M47="No Exception","NA",IF(M47="Amount Mismatch","Fee/settlement difference",IF(M47="Duplicate Reference","Duplicate posting or retry",IF(M47="Missing in Bank","Settlement delay",IF(M47="Missing in Internal Ledger","Posting/integration issue","Status timing gap")))))</x:f>
        <x:v>NA</x:v>
      </x:c>
      <x:c r="Q47" t="str">
        <x:f>IF(M47="No Exception","No action",IF(O47="P43","Escalate today",IF(O47="P44","Investigate within 48 hrs","Monitor in next batch")))</x:f>
        <x:v>No action</x:v>
      </x:c>
    </x:row>
    <x:row r="48">
      <x:c r="A48" s="88" t="n">
        <x:v>46115</x:v>
      </x:c>
      <x:c r="B48" t="str">
        <x:v>TXN100044</x:v>
      </x:c>
      <x:c r="C48" t="str">
        <x:v>EduNext</x:v>
      </x:c>
      <x:c r="D48" t="str">
        <x:v>Cards</x:v>
      </x:c>
      <x:c r="E48" s="90" t="n">
        <x:v>16534</x:v>
      </x:c>
      <x:c r="F48" s="90" t="n">
        <x:v>16654</x:v>
      </x:c>
      <x:c r="G48" t="str">
        <x:v>Posted</x:v>
      </x:c>
      <x:c r="H48" t="str">
        <x:v>Settled</x:v>
      </x:c>
      <x:c r="I48" t="str">
        <x:v>Merchant Ops</x:v>
      </x:c>
      <x:c r="J48" t="n">
        <x:v>4</x:v>
      </x:c>
      <x:c r="K48" s="90" t="n">
        <x:f>IF(OR(E48="",F48=""),"",F48-E48)</x:f>
        <x:v>120</x:v>
      </x:c>
      <x:c r="L48" t="str">
        <x:f>IF(M48="No Exception","Matched","Exception")</x:f>
        <x:v>Exception</x:v>
      </x:c>
      <x:c r="M48" t="str">
        <x:f>IF(COUNTIF($B$5:$B$124,B48)&gt;1,"Duplicate Reference",IF(E48="","Missing in Internal Ledger",IF(F48="","Missing in Bank",IF(ABS(K48)&gt;Rules!$C$5,"Amount Mismatch",IF(OR(G48="Pending",H48="Pending",H48="Missing"),"Status Mismatch","No Exception")))))</x:f>
        <x:v>Amount Mismatch</x:v>
      </x:c>
      <x:c r="N48" t="str">
        <x:f>IF(J48&gt;=Rules!$C$10,"Red &gt;7d",IF(J48&gt;=Rules!$C$9,"Amber 3-6d","Green 0-2d"))</x:f>
        <x:v>Amber 3-6d</x:v>
      </x:c>
      <x:c r="O48" t="str">
        <x:f>IF(OR(N48="Red &gt;7d",M48="Missing in Bank",M48="Missing in Internal Ledger"),"P44",IF(OR(M48="Amount Mismatch",M48="Duplicate Reference"),"P45","P46"))</x:f>
        <x:v>P45</x:v>
      </x:c>
      <x:c r="P48" t="str">
        <x:f>IF(M48="No Exception","NA",IF(M48="Amount Mismatch","Fee/settlement difference",IF(M48="Duplicate Reference","Duplicate posting or retry",IF(M48="Missing in Bank","Settlement delay",IF(M48="Missing in Internal Ledger","Posting/integration issue","Status timing gap")))))</x:f>
        <x:v>Fee/settlement difference</x:v>
      </x:c>
      <x:c r="Q48" t="str">
        <x:f>IF(M48="No Exception","No action",IF(O48="P44","Escalate today",IF(O48="P45","Investigate within 48 hrs","Monitor in next batch")))</x:f>
        <x:v>Investigate within 48 hrs</x:v>
      </x:c>
    </x:row>
    <x:row r="49">
      <x:c r="A49" s="88" t="n">
        <x:v>46136</x:v>
      </x:c>
      <x:c r="B49" t="str">
        <x:v>TXN100045</x:v>
      </x:c>
      <x:c r="C49" t="str">
        <x:v>ShopKart</x:v>
      </x:c>
      <x:c r="D49" t="str">
        <x:v>Wallet</x:v>
      </x:c>
      <x:c r="E49" s="90" t="n">
        <x:v>15071</x:v>
      </x:c>
      <x:c r="F49" s="90" t="n">
        <x:v>15071</x:v>
      </x:c>
      <x:c r="G49" t="str">
        <x:v>Posted</x:v>
      </x:c>
      <x:c r="H49" t="str">
        <x:v>Settled</x:v>
      </x:c>
      <x:c r="I49" t="str">
        <x:v>Payments Ops</x:v>
      </x:c>
      <x:c r="J49" t="n">
        <x:v>3</x:v>
      </x:c>
      <x:c r="K49" s="90" t="n">
        <x:f>IF(OR(E49="",F49=""),"",F49-E49)</x:f>
        <x:v>0</x:v>
      </x:c>
      <x:c r="L49" t="str">
        <x:f>IF(M49="No Exception","Matched","Exception")</x:f>
        <x:v>Matched</x:v>
      </x:c>
      <x:c r="M49" t="str">
        <x:f>IF(COUNTIF($B$5:$B$124,B49)&gt;1,"Duplicate Reference",IF(E49="","Missing in Internal Ledger",IF(F49="","Missing in Bank",IF(ABS(K49)&gt;Rules!$C$5,"Amount Mismatch",IF(OR(G49="Pending",H49="Pending",H49="Missing"),"Status Mismatch","No Exception")))))</x:f>
        <x:v>No Exception</x:v>
      </x:c>
      <x:c r="N49" t="str">
        <x:f>IF(J49&gt;=Rules!$C$10,"Red &gt;7d",IF(J49&gt;=Rules!$C$9,"Amber 3-6d","Green 0-2d"))</x:f>
        <x:v>Amber 3-6d</x:v>
      </x:c>
      <x:c r="O49" t="str">
        <x:f>IF(OR(N49="Red &gt;7d",M49="Missing in Bank",M49="Missing in Internal Ledger"),"P45",IF(OR(M49="Amount Mismatch",M49="Duplicate Reference"),"P46","P47"))</x:f>
        <x:v>P47</x:v>
      </x:c>
      <x:c r="P49" t="str">
        <x:f>IF(M49="No Exception","NA",IF(M49="Amount Mismatch","Fee/settlement difference",IF(M49="Duplicate Reference","Duplicate posting or retry",IF(M49="Missing in Bank","Settlement delay",IF(M49="Missing in Internal Ledger","Posting/integration issue","Status timing gap")))))</x:f>
        <x:v>NA</x:v>
      </x:c>
      <x:c r="Q49" t="str">
        <x:f>IF(M49="No Exception","No action",IF(O49="P45","Escalate today",IF(O49="P46","Investigate within 48 hrs","Monitor in next batch")))</x:f>
        <x:v>No action</x:v>
      </x:c>
    </x:row>
    <x:row r="50">
      <x:c r="A50" s="88" t="n">
        <x:v>46130</x:v>
      </x:c>
      <x:c r="B50" t="str">
        <x:v>TXN100046</x:v>
      </x:c>
      <x:c r="C50" t="str">
        <x:v>Medix</x:v>
      </x:c>
      <x:c r="D50" t="str">
        <x:v>UPI</x:v>
      </x:c>
      <x:c r="E50" s="90" t="n">
        <x:v>2484</x:v>
      </x:c>
      <x:c r="F50" s="90" t="n">
        <x:v>2484</x:v>
      </x:c>
      <x:c r="G50" t="str">
        <x:v>Posted</x:v>
      </x:c>
      <x:c r="H50" t="str">
        <x:v>Settled</x:v>
      </x:c>
      <x:c r="I50" t="str">
        <x:v>Merchant Ops</x:v>
      </x:c>
      <x:c r="J50" t="n">
        <x:v>6</x:v>
      </x:c>
      <x:c r="K50" s="90" t="n">
        <x:f>IF(OR(E50="",F50=""),"",F50-E50)</x:f>
        <x:v>0</x:v>
      </x:c>
      <x:c r="L50" t="str">
        <x:f>IF(M50="No Exception","Matched","Exception")</x:f>
        <x:v>Matched</x:v>
      </x:c>
      <x:c r="M50" t="str">
        <x:f>IF(COUNTIF($B$5:$B$124,B50)&gt;1,"Duplicate Reference",IF(E50="","Missing in Internal Ledger",IF(F50="","Missing in Bank",IF(ABS(K50)&gt;Rules!$C$5,"Amount Mismatch",IF(OR(G50="Pending",H50="Pending",H50="Missing"),"Status Mismatch","No Exception")))))</x:f>
        <x:v>No Exception</x:v>
      </x:c>
      <x:c r="N50" t="str">
        <x:f>IF(J50&gt;=Rules!$C$10,"Red &gt;7d",IF(J50&gt;=Rules!$C$9,"Amber 3-6d","Green 0-2d"))</x:f>
        <x:v>Amber 3-6d</x:v>
      </x:c>
      <x:c r="O50" t="str">
        <x:f>IF(OR(N50="Red &gt;7d",M50="Missing in Bank",M50="Missing in Internal Ledger"),"P46",IF(OR(M50="Amount Mismatch",M50="Duplicate Reference"),"P47","P48"))</x:f>
        <x:v>P48</x:v>
      </x:c>
      <x:c r="P50" t="str">
        <x:f>IF(M50="No Exception","NA",IF(M50="Amount Mismatch","Fee/settlement difference",IF(M50="Duplicate Reference","Duplicate posting or retry",IF(M50="Missing in Bank","Settlement delay",IF(M50="Missing in Internal Ledger","Posting/integration issue","Status timing gap")))))</x:f>
        <x:v>NA</x:v>
      </x:c>
      <x:c r="Q50" t="str">
        <x:f>IF(M50="No Exception","No action",IF(O50="P46","Escalate today",IF(O50="P47","Investigate within 48 hrs","Monitor in next batch")))</x:f>
        <x:v>No action</x:v>
      </x:c>
    </x:row>
    <x:row r="51">
      <x:c r="A51" s="88" t="n">
        <x:v>46126</x:v>
      </x:c>
      <x:c r="B51" t="str">
        <x:v>TXN100047</x:v>
      </x:c>
      <x:c r="C51" t="str">
        <x:v>MetroPay</x:v>
      </x:c>
      <x:c r="D51" t="str">
        <x:v>UPI</x:v>
      </x:c>
      <x:c r="E51" s="90" t="n">
        <x:v>3503</x:v>
      </x:c>
      <x:c r="F51" s="90" t="n">
        <x:v>3503</x:v>
      </x:c>
      <x:c r="G51" t="str">
        <x:v>Posted</x:v>
      </x:c>
      <x:c r="H51" t="str">
        <x:v>Settled</x:v>
      </x:c>
      <x:c r="I51" t="str">
        <x:v>Payments Ops</x:v>
      </x:c>
      <x:c r="J51" t="n">
        <x:v>10</x:v>
      </x:c>
      <x:c r="K51" s="90" t="n">
        <x:f>IF(OR(E51="",F51=""),"",F51-E51)</x:f>
        <x:v>0</x:v>
      </x:c>
      <x:c r="L51" t="str">
        <x:f>IF(M51="No Exception","Matched","Exception")</x:f>
        <x:v>Matched</x:v>
      </x:c>
      <x:c r="M51" t="str">
        <x:f>IF(COUNTIF($B$5:$B$124,B51)&gt;1,"Duplicate Reference",IF(E51="","Missing in Internal Ledger",IF(F51="","Missing in Bank",IF(ABS(K51)&gt;Rules!$C$5,"Amount Mismatch",IF(OR(G51="Pending",H51="Pending",H51="Missing"),"Status Mismatch","No Exception")))))</x:f>
        <x:v>No Exception</x:v>
      </x:c>
      <x:c r="N51" t="str">
        <x:f>IF(J51&gt;=Rules!$C$10,"Red &gt;7d",IF(J51&gt;=Rules!$C$9,"Amber 3-6d","Green 0-2d"))</x:f>
        <x:v>Red &gt;7d</x:v>
      </x:c>
      <x:c r="O51" t="str">
        <x:f>IF(OR(N51="Red &gt;7d",M51="Missing in Bank",M51="Missing in Internal Ledger"),"P47",IF(OR(M51="Amount Mismatch",M51="Duplicate Reference"),"P48","P49"))</x:f>
        <x:v>P47</x:v>
      </x:c>
      <x:c r="P51" t="str">
        <x:f>IF(M51="No Exception","NA",IF(M51="Amount Mismatch","Fee/settlement difference",IF(M51="Duplicate Reference","Duplicate posting or retry",IF(M51="Missing in Bank","Settlement delay",IF(M51="Missing in Internal Ledger","Posting/integration issue","Status timing gap")))))</x:f>
        <x:v>NA</x:v>
      </x:c>
      <x:c r="Q51" t="str">
        <x:f>IF(M51="No Exception","No action",IF(O51="P47","Escalate today",IF(O51="P48","Investigate within 48 hrs","Monitor in next batch")))</x:f>
        <x:v>No action</x:v>
      </x:c>
    </x:row>
    <x:row r="52">
      <x:c r="A52" s="88" t="n">
        <x:v>46149</x:v>
      </x:c>
      <x:c r="B52" t="str">
        <x:v>TXN100048</x:v>
      </x:c>
      <x:c r="C52" t="str">
        <x:v>Medix</x:v>
      </x:c>
      <x:c r="D52" t="str">
        <x:v>UPI</x:v>
      </x:c>
      <x:c r="E52" s="90" t="n">
        <x:v>8481</x:v>
      </x:c>
      <x:c r="F52" s="90" t="n">
        <x:v>8481</x:v>
      </x:c>
      <x:c r="G52" t="str">
        <x:v>Posted</x:v>
      </x:c>
      <x:c r="H52" t="str">
        <x:v>Settled</x:v>
      </x:c>
      <x:c r="I52" t="str">
        <x:v>Risk Ops</x:v>
      </x:c>
      <x:c r="J52" t="n">
        <x:v>2</x:v>
      </x:c>
      <x:c r="K52" s="90" t="n">
        <x:f>IF(OR(E52="",F52=""),"",F52-E52)</x:f>
        <x:v>0</x:v>
      </x:c>
      <x:c r="L52" t="str">
        <x:f>IF(M52="No Exception","Matched","Exception")</x:f>
        <x:v>Matched</x:v>
      </x:c>
      <x:c r="M52" t="str">
        <x:f>IF(COUNTIF($B$5:$B$124,B52)&gt;1,"Duplicate Reference",IF(E52="","Missing in Internal Ledger",IF(F52="","Missing in Bank",IF(ABS(K52)&gt;Rules!$C$5,"Amount Mismatch",IF(OR(G52="Pending",H52="Pending",H52="Missing"),"Status Mismatch","No Exception")))))</x:f>
        <x:v>No Exception</x:v>
      </x:c>
      <x:c r="N52" t="str">
        <x:f>IF(J52&gt;=Rules!$C$10,"Red &gt;7d",IF(J52&gt;=Rules!$C$9,"Amber 3-6d","Green 0-2d"))</x:f>
        <x:v>Green 0-2d</x:v>
      </x:c>
      <x:c r="O52" t="str">
        <x:f>IF(OR(N52="Red &gt;7d",M52="Missing in Bank",M52="Missing in Internal Ledger"),"P48",IF(OR(M52="Amount Mismatch",M52="Duplicate Reference"),"P49","P50"))</x:f>
        <x:v>P50</x:v>
      </x:c>
      <x:c r="P52" t="str">
        <x:f>IF(M52="No Exception","NA",IF(M52="Amount Mismatch","Fee/settlement difference",IF(M52="Duplicate Reference","Duplicate posting or retry",IF(M52="Missing in Bank","Settlement delay",IF(M52="Missing in Internal Ledger","Posting/integration issue","Status timing gap")))))</x:f>
        <x:v>NA</x:v>
      </x:c>
      <x:c r="Q52" t="str">
        <x:f>IF(M52="No Exception","No action",IF(O52="P48","Escalate today",IF(O52="P49","Investigate within 48 hrs","Monitor in next batch")))</x:f>
        <x:v>No action</x:v>
      </x:c>
    </x:row>
    <x:row r="53">
      <x:c r="A53" s="88" t="n">
        <x:v>46127</x:v>
      </x:c>
      <x:c r="B53" t="str">
        <x:v>TXN100049</x:v>
      </x:c>
      <x:c r="C53" t="str">
        <x:v>EduNext</x:v>
      </x:c>
      <x:c r="D53" t="str">
        <x:v>Cards</x:v>
      </x:c>
      <x:c r="E53" s="90" t="n">
        <x:v>19714</x:v>
      </x:c>
      <x:c r="F53" s="90" t="n">
        <x:v>19714</x:v>
      </x:c>
      <x:c r="G53" t="str">
        <x:v>Posted</x:v>
      </x:c>
      <x:c r="H53" t="str">
        <x:v>Settled</x:v>
      </x:c>
      <x:c r="I53" t="str">
        <x:v>Finance Ops</x:v>
      </x:c>
      <x:c r="J53" t="n">
        <x:v>3</x:v>
      </x:c>
      <x:c r="K53" s="90" t="n">
        <x:f>IF(OR(E53="",F53=""),"",F53-E53)</x:f>
        <x:v>0</x:v>
      </x:c>
      <x:c r="L53" t="str">
        <x:f>IF(M53="No Exception","Matched","Exception")</x:f>
        <x:v>Matched</x:v>
      </x:c>
      <x:c r="M53" t="str">
        <x:f>IF(COUNTIF($B$5:$B$124,B53)&gt;1,"Duplicate Reference",IF(E53="","Missing in Internal Ledger",IF(F53="","Missing in Bank",IF(ABS(K53)&gt;Rules!$C$5,"Amount Mismatch",IF(OR(G53="Pending",H53="Pending",H53="Missing"),"Status Mismatch","No Exception")))))</x:f>
        <x:v>No Exception</x:v>
      </x:c>
      <x:c r="N53" t="str">
        <x:f>IF(J53&gt;=Rules!$C$10,"Red &gt;7d",IF(J53&gt;=Rules!$C$9,"Amber 3-6d","Green 0-2d"))</x:f>
        <x:v>Amber 3-6d</x:v>
      </x:c>
      <x:c r="O53" t="str">
        <x:f>IF(OR(N53="Red &gt;7d",M53="Missing in Bank",M53="Missing in Internal Ledger"),"P49",IF(OR(M53="Amount Mismatch",M53="Duplicate Reference"),"P50","P51"))</x:f>
        <x:v>P51</x:v>
      </x:c>
      <x:c r="P53" t="str">
        <x:f>IF(M53="No Exception","NA",IF(M53="Amount Mismatch","Fee/settlement difference",IF(M53="Duplicate Reference","Duplicate posting or retry",IF(M53="Missing in Bank","Settlement delay",IF(M53="Missing in Internal Ledger","Posting/integration issue","Status timing gap")))))</x:f>
        <x:v>NA</x:v>
      </x:c>
      <x:c r="Q53" t="str">
        <x:f>IF(M53="No Exception","No action",IF(O53="P49","Escalate today",IF(O53="P50","Investigate within 48 hrs","Monitor in next batch")))</x:f>
        <x:v>No action</x:v>
      </x:c>
    </x:row>
    <x:row r="54">
      <x:c r="A54" s="88" t="n">
        <x:v>46121</x:v>
      </x:c>
      <x:c r="B54" t="str">
        <x:v>TXN100050</x:v>
      </x:c>
      <x:c r="C54" t="str">
        <x:v>QuickRide</x:v>
      </x:c>
      <x:c r="D54" t="str">
        <x:v>Cards</x:v>
      </x:c>
      <x:c r="E54" s="90" t="n">
        <x:v>9585</x:v>
      </x:c>
      <x:c r="F54" s="90" t="n">
        <x:v>9585</x:v>
      </x:c>
      <x:c r="G54" t="str">
        <x:v>Posted</x:v>
      </x:c>
      <x:c r="H54" t="str">
        <x:v>Settled</x:v>
      </x:c>
      <x:c r="I54" t="str">
        <x:v>Finance Ops</x:v>
      </x:c>
      <x:c r="J54" t="n">
        <x:v>2</x:v>
      </x:c>
      <x:c r="K54" s="90" t="n">
        <x:f>IF(OR(E54="",F54=""),"",F54-E54)</x:f>
        <x:v>0</x:v>
      </x:c>
      <x:c r="L54" t="str">
        <x:f>IF(M54="No Exception","Matched","Exception")</x:f>
        <x:v>Matched</x:v>
      </x:c>
      <x:c r="M54" t="str">
        <x:f>IF(COUNTIF($B$5:$B$124,B54)&gt;1,"Duplicate Reference",IF(E54="","Missing in Internal Ledger",IF(F54="","Missing in Bank",IF(ABS(K54)&gt;Rules!$C$5,"Amount Mismatch",IF(OR(G54="Pending",H54="Pending",H54="Missing"),"Status Mismatch","No Exception")))))</x:f>
        <x:v>No Exception</x:v>
      </x:c>
      <x:c r="N54" t="str">
        <x:f>IF(J54&gt;=Rules!$C$10,"Red &gt;7d",IF(J54&gt;=Rules!$C$9,"Amber 3-6d","Green 0-2d"))</x:f>
        <x:v>Green 0-2d</x:v>
      </x:c>
      <x:c r="O54" t="str">
        <x:f>IF(OR(N54="Red &gt;7d",M54="Missing in Bank",M54="Missing in Internal Ledger"),"P50",IF(OR(M54="Amount Mismatch",M54="Duplicate Reference"),"P51","P52"))</x:f>
        <x:v>P52</x:v>
      </x:c>
      <x:c r="P54" t="str">
        <x:f>IF(M54="No Exception","NA",IF(M54="Amount Mismatch","Fee/settlement difference",IF(M54="Duplicate Reference","Duplicate posting or retry",IF(M54="Missing in Bank","Settlement delay",IF(M54="Missing in Internal Ledger","Posting/integration issue","Status timing gap")))))</x:f>
        <x:v>NA</x:v>
      </x:c>
      <x:c r="Q54" t="str">
        <x:f>IF(M54="No Exception","No action",IF(O54="P50","Escalate today",IF(O54="P51","Investigate within 48 hrs","Monitor in next batch")))</x:f>
        <x:v>No action</x:v>
      </x:c>
    </x:row>
    <x:row r="55">
      <x:c r="A55" s="88" t="n">
        <x:v>46113</x:v>
      </x:c>
      <x:c r="B55" t="str">
        <x:v>TXN100051</x:v>
      </x:c>
      <x:c r="C55" t="str">
        <x:v>EduNext</x:v>
      </x:c>
      <x:c r="D55" t="str">
        <x:v>Cards</x:v>
      </x:c>
      <x:c r="E55" s="90" t="n">
        <x:v>1344</x:v>
      </x:c>
      <x:c r="F55" s="90"/>
      <x:c r="G55" t="str">
        <x:v>Posted</x:v>
      </x:c>
      <x:c r="H55" t="str">
        <x:v>Missing</x:v>
      </x:c>
      <x:c r="I55" t="str">
        <x:v>Payments Ops</x:v>
      </x:c>
      <x:c r="J55" t="n">
        <x:v>2</x:v>
      </x:c>
      <x:c r="K55" s="90" t="str">
        <x:f>IF(OR(E55="",F55=""),"",F55-E55)</x:f>
      </x:c>
      <x:c r="L55" t="str">
        <x:f>IF(M55="No Exception","Matched","Exception")</x:f>
        <x:v>Exception</x:v>
      </x:c>
      <x:c r="M55" t="str">
        <x:f>IF(COUNTIF($B$5:$B$124,B55)&gt;1,"Duplicate Reference",IF(E55="","Missing in Internal Ledger",IF(F55="","Missing in Bank",IF(ABS(K55)&gt;Rules!$C$5,"Amount Mismatch",IF(OR(G55="Pending",H55="Pending",H55="Missing"),"Status Mismatch","No Exception")))))</x:f>
        <x:v>Missing in Bank</x:v>
      </x:c>
      <x:c r="N55" t="str">
        <x:f>IF(J55&gt;=Rules!$C$10,"Red &gt;7d",IF(J55&gt;=Rules!$C$9,"Amber 3-6d","Green 0-2d"))</x:f>
        <x:v>Green 0-2d</x:v>
      </x:c>
      <x:c r="O55" t="str">
        <x:f>IF(OR(N55="Red &gt;7d",M55="Missing in Bank",M55="Missing in Internal Ledger"),"P51",IF(OR(M55="Amount Mismatch",M55="Duplicate Reference"),"P52","P53"))</x:f>
        <x:v>P51</x:v>
      </x:c>
      <x:c r="P55" t="str">
        <x:f>IF(M55="No Exception","NA",IF(M55="Amount Mismatch","Fee/settlement difference",IF(M55="Duplicate Reference","Duplicate posting or retry",IF(M55="Missing in Bank","Settlement delay",IF(M55="Missing in Internal Ledger","Posting/integration issue","Status timing gap")))))</x:f>
        <x:v>Settlement delay</x:v>
      </x:c>
      <x:c r="Q55" t="str">
        <x:f>IF(M55="No Exception","No action",IF(O55="P51","Escalate today",IF(O55="P52","Investigate within 48 hrs","Monitor in next batch")))</x:f>
        <x:v>Escalate today</x:v>
      </x:c>
    </x:row>
    <x:row r="56">
      <x:c r="A56" s="88" t="n">
        <x:v>46129</x:v>
      </x:c>
      <x:c r="B56" t="str">
        <x:v>TXN100052</x:v>
      </x:c>
      <x:c r="C56" t="str">
        <x:v>MetroPay</x:v>
      </x:c>
      <x:c r="D56" t="str">
        <x:v>Cards</x:v>
      </x:c>
      <x:c r="E56" s="90" t="n">
        <x:v>1017</x:v>
      </x:c>
      <x:c r="F56" s="90" t="n">
        <x:v>1017</x:v>
      </x:c>
      <x:c r="G56" t="str">
        <x:v>Pending</x:v>
      </x:c>
      <x:c r="H56" t="str">
        <x:v>Settled</x:v>
      </x:c>
      <x:c r="I56" t="str">
        <x:v>Merchant Ops</x:v>
      </x:c>
      <x:c r="J56" t="n">
        <x:v>2</x:v>
      </x:c>
      <x:c r="K56" s="90" t="n">
        <x:f>IF(OR(E56="",F56=""),"",F56-E56)</x:f>
        <x:v>0</x:v>
      </x:c>
      <x:c r="L56" t="str">
        <x:f>IF(M56="No Exception","Matched","Exception")</x:f>
        <x:v>Exception</x:v>
      </x:c>
      <x:c r="M56" t="str">
        <x:f>IF(COUNTIF($B$5:$B$124,B56)&gt;1,"Duplicate Reference",IF(E56="","Missing in Internal Ledger",IF(F56="","Missing in Bank",IF(ABS(K56)&gt;Rules!$C$5,"Amount Mismatch",IF(OR(G56="Pending",H56="Pending",H56="Missing"),"Status Mismatch","No Exception")))))</x:f>
        <x:v>Status Mismatch</x:v>
      </x:c>
      <x:c r="N56" t="str">
        <x:f>IF(J56&gt;=Rules!$C$10,"Red &gt;7d",IF(J56&gt;=Rules!$C$9,"Amber 3-6d","Green 0-2d"))</x:f>
        <x:v>Green 0-2d</x:v>
      </x:c>
      <x:c r="O56" t="str">
        <x:f>IF(OR(N56="Red &gt;7d",M56="Missing in Bank",M56="Missing in Internal Ledger"),"P52",IF(OR(M56="Amount Mismatch",M56="Duplicate Reference"),"P53","P54"))</x:f>
        <x:v>P54</x:v>
      </x:c>
      <x:c r="P56" t="str">
        <x:f>IF(M56="No Exception","NA",IF(M56="Amount Mismatch","Fee/settlement difference",IF(M56="Duplicate Reference","Duplicate posting or retry",IF(M56="Missing in Bank","Settlement delay",IF(M56="Missing in Internal Ledger","Posting/integration issue","Status timing gap")))))</x:f>
        <x:v>Status timing gap</x:v>
      </x:c>
      <x:c r="Q56" t="str">
        <x:f>IF(M56="No Exception","No action",IF(O56="P52","Escalate today",IF(O56="P53","Investigate within 48 hrs","Monitor in next batch")))</x:f>
        <x:v>Monitor in next batch</x:v>
      </x:c>
    </x:row>
    <x:row r="57">
      <x:c r="A57" s="88" t="n">
        <x:v>46117</x:v>
      </x:c>
      <x:c r="B57" t="str">
        <x:v>TXN100053</x:v>
      </x:c>
      <x:c r="C57" t="str">
        <x:v>Fashio</x:v>
      </x:c>
      <x:c r="D57" t="str">
        <x:v>NetBanking</x:v>
      </x:c>
      <x:c r="E57" s="90" t="n">
        <x:v>17738</x:v>
      </x:c>
      <x:c r="F57" s="90" t="n">
        <x:v>17738</x:v>
      </x:c>
      <x:c r="G57" t="str">
        <x:v>Posted</x:v>
      </x:c>
      <x:c r="H57" t="str">
        <x:v>Settled</x:v>
      </x:c>
      <x:c r="I57" t="str">
        <x:v>Payments Ops</x:v>
      </x:c>
      <x:c r="J57" t="n">
        <x:v>1</x:v>
      </x:c>
      <x:c r="K57" s="90" t="n">
        <x:f>IF(OR(E57="",F57=""),"",F57-E57)</x:f>
        <x:v>0</x:v>
      </x:c>
      <x:c r="L57" t="str">
        <x:f>IF(M57="No Exception","Matched","Exception")</x:f>
        <x:v>Matched</x:v>
      </x:c>
      <x:c r="M57" t="str">
        <x:f>IF(COUNTIF($B$5:$B$124,B57)&gt;1,"Duplicate Reference",IF(E57="","Missing in Internal Ledger",IF(F57="","Missing in Bank",IF(ABS(K57)&gt;Rules!$C$5,"Amount Mismatch",IF(OR(G57="Pending",H57="Pending",H57="Missing"),"Status Mismatch","No Exception")))))</x:f>
        <x:v>No Exception</x:v>
      </x:c>
      <x:c r="N57" t="str">
        <x:f>IF(J57&gt;=Rules!$C$10,"Red &gt;7d",IF(J57&gt;=Rules!$C$9,"Amber 3-6d","Green 0-2d"))</x:f>
        <x:v>Green 0-2d</x:v>
      </x:c>
      <x:c r="O57" t="str">
        <x:f>IF(OR(N57="Red &gt;7d",M57="Missing in Bank",M57="Missing in Internal Ledger"),"P53",IF(OR(M57="Amount Mismatch",M57="Duplicate Reference"),"P54","P55"))</x:f>
        <x:v>P55</x:v>
      </x:c>
      <x:c r="P57" t="str">
        <x:f>IF(M57="No Exception","NA",IF(M57="Amount Mismatch","Fee/settlement difference",IF(M57="Duplicate Reference","Duplicate posting or retry",IF(M57="Missing in Bank","Settlement delay",IF(M57="Missing in Internal Ledger","Posting/integration issue","Status timing gap")))))</x:f>
        <x:v>NA</x:v>
      </x:c>
      <x:c r="Q57" t="str">
        <x:f>IF(M57="No Exception","No action",IF(O57="P53","Escalate today",IF(O57="P54","Investigate within 48 hrs","Monitor in next batch")))</x:f>
        <x:v>No action</x:v>
      </x:c>
    </x:row>
    <x:row r="58">
      <x:c r="A58" s="88" t="n">
        <x:v>46119</x:v>
      </x:c>
      <x:c r="B58" t="str">
        <x:v>TXN100054</x:v>
      </x:c>
      <x:c r="C58" t="str">
        <x:v>Fashio</x:v>
      </x:c>
      <x:c r="D58" t="str">
        <x:v>Cards</x:v>
      </x:c>
      <x:c r="E58" s="90" t="n">
        <x:v>17317</x:v>
      </x:c>
      <x:c r="F58" s="90" t="n">
        <x:v>17317</x:v>
      </x:c>
      <x:c r="G58" t="str">
        <x:v>Posted</x:v>
      </x:c>
      <x:c r="H58" t="str">
        <x:v>Settled</x:v>
      </x:c>
      <x:c r="I58" t="str">
        <x:v>Finance Ops</x:v>
      </x:c>
      <x:c r="J58" t="n">
        <x:v>9</x:v>
      </x:c>
      <x:c r="K58" s="90" t="n">
        <x:f>IF(OR(E58="",F58=""),"",F58-E58)</x:f>
        <x:v>0</x:v>
      </x:c>
      <x:c r="L58" t="str">
        <x:f>IF(M58="No Exception","Matched","Exception")</x:f>
        <x:v>Matched</x:v>
      </x:c>
      <x:c r="M58" t="str">
        <x:f>IF(COUNTIF($B$5:$B$124,B58)&gt;1,"Duplicate Reference",IF(E58="","Missing in Internal Ledger",IF(F58="","Missing in Bank",IF(ABS(K58)&gt;Rules!$C$5,"Amount Mismatch",IF(OR(G58="Pending",H58="Pending",H58="Missing"),"Status Mismatch","No Exception")))))</x:f>
        <x:v>No Exception</x:v>
      </x:c>
      <x:c r="N58" t="str">
        <x:f>IF(J58&gt;=Rules!$C$10,"Red &gt;7d",IF(J58&gt;=Rules!$C$9,"Amber 3-6d","Green 0-2d"))</x:f>
        <x:v>Red &gt;7d</x:v>
      </x:c>
      <x:c r="O58" t="str">
        <x:f>IF(OR(N58="Red &gt;7d",M58="Missing in Bank",M58="Missing in Internal Ledger"),"P54",IF(OR(M58="Amount Mismatch",M58="Duplicate Reference"),"P55","P56"))</x:f>
        <x:v>P54</x:v>
      </x:c>
      <x:c r="P58" t="str">
        <x:f>IF(M58="No Exception","NA",IF(M58="Amount Mismatch","Fee/settlement difference",IF(M58="Duplicate Reference","Duplicate posting or retry",IF(M58="Missing in Bank","Settlement delay",IF(M58="Missing in Internal Ledger","Posting/integration issue","Status timing gap")))))</x:f>
        <x:v>NA</x:v>
      </x:c>
      <x:c r="Q58" t="str">
        <x:f>IF(M58="No Exception","No action",IF(O58="P54","Escalate today",IF(O58="P55","Investigate within 48 hrs","Monitor in next batch")))</x:f>
        <x:v>No action</x:v>
      </x:c>
    </x:row>
    <x:row r="59">
      <x:c r="A59" s="88" t="n">
        <x:v>46154</x:v>
      </x:c>
      <x:c r="B59" t="str">
        <x:v>TXN100055</x:v>
      </x:c>
      <x:c r="C59" t="str">
        <x:v>MetroPay</x:v>
      </x:c>
      <x:c r="D59" t="str">
        <x:v>UPI</x:v>
      </x:c>
      <x:c r="E59" s="90" t="n">
        <x:v>17586</x:v>
      </x:c>
      <x:c r="F59" s="90" t="n">
        <x:v>17621</x:v>
      </x:c>
      <x:c r="G59" t="str">
        <x:v>Posted</x:v>
      </x:c>
      <x:c r="H59" t="str">
        <x:v>Settled</x:v>
      </x:c>
      <x:c r="I59" t="str">
        <x:v>Merchant Ops</x:v>
      </x:c>
      <x:c r="J59" t="n">
        <x:v>7</x:v>
      </x:c>
      <x:c r="K59" s="90" t="n">
        <x:f>IF(OR(E59="",F59=""),"",F59-E59)</x:f>
        <x:v>35</x:v>
      </x:c>
      <x:c r="L59" t="str">
        <x:f>IF(M59="No Exception","Matched","Exception")</x:f>
        <x:v>Exception</x:v>
      </x:c>
      <x:c r="M59" t="str">
        <x:f>IF(COUNTIF($B$5:$B$124,B59)&gt;1,"Duplicate Reference",IF(E59="","Missing in Internal Ledger",IF(F59="","Missing in Bank",IF(ABS(K59)&gt;Rules!$C$5,"Amount Mismatch",IF(OR(G59="Pending",H59="Pending",H59="Missing"),"Status Mismatch","No Exception")))))</x:f>
        <x:v>Amount Mismatch</x:v>
      </x:c>
      <x:c r="N59" t="str">
        <x:f>IF(J59&gt;=Rules!$C$10,"Red &gt;7d",IF(J59&gt;=Rules!$C$9,"Amber 3-6d","Green 0-2d"))</x:f>
        <x:v>Red &gt;7d</x:v>
      </x:c>
      <x:c r="O59" t="str">
        <x:f>IF(OR(N59="Red &gt;7d",M59="Missing in Bank",M59="Missing in Internal Ledger"),"P55",IF(OR(M59="Amount Mismatch",M59="Duplicate Reference"),"P56","P57"))</x:f>
        <x:v>P55</x:v>
      </x:c>
      <x:c r="P59" t="str">
        <x:f>IF(M59="No Exception","NA",IF(M59="Amount Mismatch","Fee/settlement difference",IF(M59="Duplicate Reference","Duplicate posting or retry",IF(M59="Missing in Bank","Settlement delay",IF(M59="Missing in Internal Ledger","Posting/integration issue","Status timing gap")))))</x:f>
        <x:v>Fee/settlement difference</x:v>
      </x:c>
      <x:c r="Q59" t="str">
        <x:f>IF(M59="No Exception","No action",IF(O59="P55","Escalate today",IF(O59="P56","Investigate within 48 hrs","Monitor in next batch")))</x:f>
        <x:v>Escalate today</x:v>
      </x:c>
    </x:row>
    <x:row r="60">
      <x:c r="A60" s="88" t="n">
        <x:v>46156</x:v>
      </x:c>
      <x:c r="B60" t="str">
        <x:v>TXN100056</x:v>
      </x:c>
      <x:c r="C60" t="str">
        <x:v>ShopKart</x:v>
      </x:c>
      <x:c r="D60" t="str">
        <x:v>NetBanking</x:v>
      </x:c>
      <x:c r="E60" s="90" t="n">
        <x:v>13660</x:v>
      </x:c>
      <x:c r="F60" s="90" t="n">
        <x:v>13660</x:v>
      </x:c>
      <x:c r="G60" t="str">
        <x:v>Posted</x:v>
      </x:c>
      <x:c r="H60" t="str">
        <x:v>Settled</x:v>
      </x:c>
      <x:c r="I60" t="str">
        <x:v>Merchant Ops</x:v>
      </x:c>
      <x:c r="J60" t="n">
        <x:v>6</x:v>
      </x:c>
      <x:c r="K60" s="90" t="n">
        <x:f>IF(OR(E60="",F60=""),"",F60-E60)</x:f>
        <x:v>0</x:v>
      </x:c>
      <x:c r="L60" t="str">
        <x:f>IF(M60="No Exception","Matched","Exception")</x:f>
        <x:v>Matched</x:v>
      </x:c>
      <x:c r="M60" t="str">
        <x:f>IF(COUNTIF($B$5:$B$124,B60)&gt;1,"Duplicate Reference",IF(E60="","Missing in Internal Ledger",IF(F60="","Missing in Bank",IF(ABS(K60)&gt;Rules!$C$5,"Amount Mismatch",IF(OR(G60="Pending",H60="Pending",H60="Missing"),"Status Mismatch","No Exception")))))</x:f>
        <x:v>No Exception</x:v>
      </x:c>
      <x:c r="N60" t="str">
        <x:f>IF(J60&gt;=Rules!$C$10,"Red &gt;7d",IF(J60&gt;=Rules!$C$9,"Amber 3-6d","Green 0-2d"))</x:f>
        <x:v>Amber 3-6d</x:v>
      </x:c>
      <x:c r="O60" t="str">
        <x:f>IF(OR(N60="Red &gt;7d",M60="Missing in Bank",M60="Missing in Internal Ledger"),"P56",IF(OR(M60="Amount Mismatch",M60="Duplicate Reference"),"P57","P58"))</x:f>
        <x:v>P58</x:v>
      </x:c>
      <x:c r="P60" t="str">
        <x:f>IF(M60="No Exception","NA",IF(M60="Amount Mismatch","Fee/settlement difference",IF(M60="Duplicate Reference","Duplicate posting or retry",IF(M60="Missing in Bank","Settlement delay",IF(M60="Missing in Internal Ledger","Posting/integration issue","Status timing gap")))))</x:f>
        <x:v>NA</x:v>
      </x:c>
      <x:c r="Q60" t="str">
        <x:f>IF(M60="No Exception","No action",IF(O60="P56","Escalate today",IF(O60="P57","Investigate within 48 hrs","Monitor in next batch")))</x:f>
        <x:v>No action</x:v>
      </x:c>
    </x:row>
    <x:row r="61">
      <x:c r="A61" s="88" t="n">
        <x:v>46133</x:v>
      </x:c>
      <x:c r="B61" t="str">
        <x:v>TXN100057</x:v>
      </x:c>
      <x:c r="C61" t="str">
        <x:v>CloudFoods</x:v>
      </x:c>
      <x:c r="D61" t="str">
        <x:v>UPI</x:v>
      </x:c>
      <x:c r="E61" s="90"/>
      <x:c r="F61" s="90" t="n">
        <x:v>2908</x:v>
      </x:c>
      <x:c r="G61" t="str">
        <x:v>Missing</x:v>
      </x:c>
      <x:c r="H61" t="str">
        <x:v>Settled</x:v>
      </x:c>
      <x:c r="I61" t="str">
        <x:v>Risk Ops</x:v>
      </x:c>
      <x:c r="J61" t="n">
        <x:v>1</x:v>
      </x:c>
      <x:c r="K61" s="90" t="str">
        <x:f>IF(OR(E61="",F61=""),"",F61-E61)</x:f>
      </x:c>
      <x:c r="L61" t="str">
        <x:f>IF(M61="No Exception","Matched","Exception")</x:f>
        <x:v>Exception</x:v>
      </x:c>
      <x:c r="M61" t="str">
        <x:f>IF(COUNTIF($B$5:$B$124,B61)&gt;1,"Duplicate Reference",IF(E61="","Missing in Internal Ledger",IF(F61="","Missing in Bank",IF(ABS(K61)&gt;Rules!$C$5,"Amount Mismatch",IF(OR(G61="Pending",H61="Pending",H61="Missing"),"Status Mismatch","No Exception")))))</x:f>
        <x:v>Missing in Internal Ledger</x:v>
      </x:c>
      <x:c r="N61" t="str">
        <x:f>IF(J61&gt;=Rules!$C$10,"Red &gt;7d",IF(J61&gt;=Rules!$C$9,"Amber 3-6d","Green 0-2d"))</x:f>
        <x:v>Green 0-2d</x:v>
      </x:c>
      <x:c r="O61" t="str">
        <x:f>IF(OR(N61="Red &gt;7d",M61="Missing in Bank",M61="Missing in Internal Ledger"),"P57",IF(OR(M61="Amount Mismatch",M61="Duplicate Reference"),"P58","P59"))</x:f>
        <x:v>P57</x:v>
      </x:c>
      <x:c r="P61" t="str">
        <x:f>IF(M61="No Exception","NA",IF(M61="Amount Mismatch","Fee/settlement difference",IF(M61="Duplicate Reference","Duplicate posting or retry",IF(M61="Missing in Bank","Settlement delay",IF(M61="Missing in Internal Ledger","Posting/integration issue","Status timing gap")))))</x:f>
        <x:v>Posting/integration issue</x:v>
      </x:c>
      <x:c r="Q61" t="str">
        <x:f>IF(M61="No Exception","No action",IF(O61="P57","Escalate today",IF(O61="P58","Investigate within 48 hrs","Monitor in next batch")))</x:f>
        <x:v>Escalate today</x:v>
      </x:c>
    </x:row>
    <x:row r="62">
      <x:c r="A62" s="88" t="n">
        <x:v>46153</x:v>
      </x:c>
      <x:c r="B62" t="str">
        <x:v>TXN100058</x:v>
      </x:c>
      <x:c r="C62" t="str">
        <x:v>EduNext</x:v>
      </x:c>
      <x:c r="D62" t="str">
        <x:v>NetBanking</x:v>
      </x:c>
      <x:c r="E62" s="90" t="n">
        <x:v>9511</x:v>
      </x:c>
      <x:c r="F62" s="90" t="n">
        <x:v>9511</x:v>
      </x:c>
      <x:c r="G62" t="str">
        <x:v>Posted</x:v>
      </x:c>
      <x:c r="H62" t="str">
        <x:v>Settled</x:v>
      </x:c>
      <x:c r="I62" t="str">
        <x:v>Payments Ops</x:v>
      </x:c>
      <x:c r="J62" t="n">
        <x:v>9</x:v>
      </x:c>
      <x:c r="K62" s="90" t="n">
        <x:f>IF(OR(E62="",F62=""),"",F62-E62)</x:f>
        <x:v>0</x:v>
      </x:c>
      <x:c r="L62" t="str">
        <x:f>IF(M62="No Exception","Matched","Exception")</x:f>
        <x:v>Matched</x:v>
      </x:c>
      <x:c r="M62" t="str">
        <x:f>IF(COUNTIF($B$5:$B$124,B62)&gt;1,"Duplicate Reference",IF(E62="","Missing in Internal Ledger",IF(F62="","Missing in Bank",IF(ABS(K62)&gt;Rules!$C$5,"Amount Mismatch",IF(OR(G62="Pending",H62="Pending",H62="Missing"),"Status Mismatch","No Exception")))))</x:f>
        <x:v>No Exception</x:v>
      </x:c>
      <x:c r="N62" t="str">
        <x:f>IF(J62&gt;=Rules!$C$10,"Red &gt;7d",IF(J62&gt;=Rules!$C$9,"Amber 3-6d","Green 0-2d"))</x:f>
        <x:v>Red &gt;7d</x:v>
      </x:c>
      <x:c r="O62" t="str">
        <x:f>IF(OR(N62="Red &gt;7d",M62="Missing in Bank",M62="Missing in Internal Ledger"),"P58",IF(OR(M62="Amount Mismatch",M62="Duplicate Reference"),"P59","P60"))</x:f>
        <x:v>P58</x:v>
      </x:c>
      <x:c r="P62" t="str">
        <x:f>IF(M62="No Exception","NA",IF(M62="Amount Mismatch","Fee/settlement difference",IF(M62="Duplicate Reference","Duplicate posting or retry",IF(M62="Missing in Bank","Settlement delay",IF(M62="Missing in Internal Ledger","Posting/integration issue","Status timing gap")))))</x:f>
        <x:v>NA</x:v>
      </x:c>
      <x:c r="Q62" t="str">
        <x:f>IF(M62="No Exception","No action",IF(O62="P58","Escalate today",IF(O62="P59","Investigate within 48 hrs","Monitor in next batch")))</x:f>
        <x:v>No action</x:v>
      </x:c>
    </x:row>
    <x:row r="63">
      <x:c r="A63" s="88" t="n">
        <x:v>46151</x:v>
      </x:c>
      <x:c r="B63" t="str">
        <x:v>TXN100059</x:v>
      </x:c>
      <x:c r="C63" t="str">
        <x:v>TravelGo</x:v>
      </x:c>
      <x:c r="D63" t="str">
        <x:v>UPI</x:v>
      </x:c>
      <x:c r="E63" s="90" t="n">
        <x:v>15367</x:v>
      </x:c>
      <x:c r="F63" s="90" t="n">
        <x:v>15367</x:v>
      </x:c>
      <x:c r="G63" t="str">
        <x:v>Posted</x:v>
      </x:c>
      <x:c r="H63" t="str">
        <x:v>Settled</x:v>
      </x:c>
      <x:c r="I63" t="str">
        <x:v>Finance Ops</x:v>
      </x:c>
      <x:c r="J63" t="n">
        <x:v>8</x:v>
      </x:c>
      <x:c r="K63" s="90" t="n">
        <x:f>IF(OR(E63="",F63=""),"",F63-E63)</x:f>
        <x:v>0</x:v>
      </x:c>
      <x:c r="L63" t="str">
        <x:f>IF(M63="No Exception","Matched","Exception")</x:f>
        <x:v>Matched</x:v>
      </x:c>
      <x:c r="M63" t="str">
        <x:f>IF(COUNTIF($B$5:$B$124,B63)&gt;1,"Duplicate Reference",IF(E63="","Missing in Internal Ledger",IF(F63="","Missing in Bank",IF(ABS(K63)&gt;Rules!$C$5,"Amount Mismatch",IF(OR(G63="Pending",H63="Pending",H63="Missing"),"Status Mismatch","No Exception")))))</x:f>
        <x:v>No Exception</x:v>
      </x:c>
      <x:c r="N63" t="str">
        <x:f>IF(J63&gt;=Rules!$C$10,"Red &gt;7d",IF(J63&gt;=Rules!$C$9,"Amber 3-6d","Green 0-2d"))</x:f>
        <x:v>Red &gt;7d</x:v>
      </x:c>
      <x:c r="O63" t="str">
        <x:f>IF(OR(N63="Red &gt;7d",M63="Missing in Bank",M63="Missing in Internal Ledger"),"P59",IF(OR(M63="Amount Mismatch",M63="Duplicate Reference"),"P60","P61"))</x:f>
        <x:v>P59</x:v>
      </x:c>
      <x:c r="P63" t="str">
        <x:f>IF(M63="No Exception","NA",IF(M63="Amount Mismatch","Fee/settlement difference",IF(M63="Duplicate Reference","Duplicate posting or retry",IF(M63="Missing in Bank","Settlement delay",IF(M63="Missing in Internal Ledger","Posting/integration issue","Status timing gap")))))</x:f>
        <x:v>NA</x:v>
      </x:c>
      <x:c r="Q63" t="str">
        <x:f>IF(M63="No Exception","No action",IF(O63="P59","Escalate today",IF(O63="P60","Investigate within 48 hrs","Monitor in next batch")))</x:f>
        <x:v>No action</x:v>
      </x:c>
    </x:row>
    <x:row r="64">
      <x:c r="A64" s="88" t="n">
        <x:v>46126</x:v>
      </x:c>
      <x:c r="B64" t="str">
        <x:v>TXN100060</x:v>
      </x:c>
      <x:c r="C64" t="str">
        <x:v>TravelGo</x:v>
      </x:c>
      <x:c r="D64" t="str">
        <x:v>NetBanking</x:v>
      </x:c>
      <x:c r="E64" s="90" t="n">
        <x:v>18566</x:v>
      </x:c>
      <x:c r="F64" s="90" t="n">
        <x:v>18566</x:v>
      </x:c>
      <x:c r="G64" t="str">
        <x:v>Posted</x:v>
      </x:c>
      <x:c r="H64" t="str">
        <x:v>Settled</x:v>
      </x:c>
      <x:c r="I64" t="str">
        <x:v>Risk Ops</x:v>
      </x:c>
      <x:c r="J64" t="n">
        <x:v>11</x:v>
      </x:c>
      <x:c r="K64" s="90" t="n">
        <x:f>IF(OR(E64="",F64=""),"",F64-E64)</x:f>
        <x:v>0</x:v>
      </x:c>
      <x:c r="L64" t="str">
        <x:f>IF(M64="No Exception","Matched","Exception")</x:f>
        <x:v>Matched</x:v>
      </x:c>
      <x:c r="M64" t="str">
        <x:f>IF(COUNTIF($B$5:$B$124,B64)&gt;1,"Duplicate Reference",IF(E64="","Missing in Internal Ledger",IF(F64="","Missing in Bank",IF(ABS(K64)&gt;Rules!$C$5,"Amount Mismatch",IF(OR(G64="Pending",H64="Pending",H64="Missing"),"Status Mismatch","No Exception")))))</x:f>
        <x:v>No Exception</x:v>
      </x:c>
      <x:c r="N64" t="str">
        <x:f>IF(J64&gt;=Rules!$C$10,"Red &gt;7d",IF(J64&gt;=Rules!$C$9,"Amber 3-6d","Green 0-2d"))</x:f>
        <x:v>Red &gt;7d</x:v>
      </x:c>
      <x:c r="O64" t="str">
        <x:f>IF(OR(N64="Red &gt;7d",M64="Missing in Bank",M64="Missing in Internal Ledger"),"P60",IF(OR(M64="Amount Mismatch",M64="Duplicate Reference"),"P61","P62"))</x:f>
        <x:v>P60</x:v>
      </x:c>
      <x:c r="P64" t="str">
        <x:f>IF(M64="No Exception","NA",IF(M64="Amount Mismatch","Fee/settlement difference",IF(M64="Duplicate Reference","Duplicate posting or retry",IF(M64="Missing in Bank","Settlement delay",IF(M64="Missing in Internal Ledger","Posting/integration issue","Status timing gap")))))</x:f>
        <x:v>NA</x:v>
      </x:c>
      <x:c r="Q64" t="str">
        <x:f>IF(M64="No Exception","No action",IF(O64="P60","Escalate today",IF(O64="P61","Investigate within 48 hrs","Monitor in next batch")))</x:f>
        <x:v>No action</x:v>
      </x:c>
    </x:row>
    <x:row r="65">
      <x:c r="A65" s="88" t="n">
        <x:v>46142</x:v>
      </x:c>
      <x:c r="B65" t="str">
        <x:v>TXN100061</x:v>
      </x:c>
      <x:c r="C65" t="str">
        <x:v>TravelGo</x:v>
      </x:c>
      <x:c r="D65" t="str">
        <x:v>NetBanking</x:v>
      </x:c>
      <x:c r="E65" s="90" t="n">
        <x:v>14059</x:v>
      </x:c>
      <x:c r="F65" s="90" t="n">
        <x:v>14059</x:v>
      </x:c>
      <x:c r="G65" t="str">
        <x:v>Posted</x:v>
      </x:c>
      <x:c r="H65" t="str">
        <x:v>Settled</x:v>
      </x:c>
      <x:c r="I65" t="str">
        <x:v>Finance Ops</x:v>
      </x:c>
      <x:c r="J65" t="n">
        <x:v>5</x:v>
      </x:c>
      <x:c r="K65" s="90" t="n">
        <x:f>IF(OR(E65="",F65=""),"",F65-E65)</x:f>
        <x:v>0</x:v>
      </x:c>
      <x:c r="L65" t="str">
        <x:f>IF(M65="No Exception","Matched","Exception")</x:f>
        <x:v>Matched</x:v>
      </x:c>
      <x:c r="M65" t="str">
        <x:f>IF(COUNTIF($B$5:$B$124,B65)&gt;1,"Duplicate Reference",IF(E65="","Missing in Internal Ledger",IF(F65="","Missing in Bank",IF(ABS(K65)&gt;Rules!$C$5,"Amount Mismatch",IF(OR(G65="Pending",H65="Pending",H65="Missing"),"Status Mismatch","No Exception")))))</x:f>
        <x:v>No Exception</x:v>
      </x:c>
      <x:c r="N65" t="str">
        <x:f>IF(J65&gt;=Rules!$C$10,"Red &gt;7d",IF(J65&gt;=Rules!$C$9,"Amber 3-6d","Green 0-2d"))</x:f>
        <x:v>Amber 3-6d</x:v>
      </x:c>
      <x:c r="O65" t="str">
        <x:f>IF(OR(N65="Red &gt;7d",M65="Missing in Bank",M65="Missing in Internal Ledger"),"P61",IF(OR(M65="Amount Mismatch",M65="Duplicate Reference"),"P62","P63"))</x:f>
        <x:v>P63</x:v>
      </x:c>
      <x:c r="P65" t="str">
        <x:f>IF(M65="No Exception","NA",IF(M65="Amount Mismatch","Fee/settlement difference",IF(M65="Duplicate Reference","Duplicate posting or retry",IF(M65="Missing in Bank","Settlement delay",IF(M65="Missing in Internal Ledger","Posting/integration issue","Status timing gap")))))</x:f>
        <x:v>NA</x:v>
      </x:c>
      <x:c r="Q65" t="str">
        <x:f>IF(M65="No Exception","No action",IF(O65="P61","Escalate today",IF(O65="P62","Investigate within 48 hrs","Monitor in next batch")))</x:f>
        <x:v>No action</x:v>
      </x:c>
    </x:row>
    <x:row r="66">
      <x:c r="A66" s="88" t="n">
        <x:v>46133</x:v>
      </x:c>
      <x:c r="B66" t="str">
        <x:v>TXN100062</x:v>
      </x:c>
      <x:c r="C66" t="str">
        <x:v>QuickRide</x:v>
      </x:c>
      <x:c r="D66" t="str">
        <x:v>Wallet</x:v>
      </x:c>
      <x:c r="E66" s="90" t="n">
        <x:v>10741</x:v>
      </x:c>
      <x:c r="F66" s="90" t="n">
        <x:v>10741</x:v>
      </x:c>
      <x:c r="G66" t="str">
        <x:v>Posted</x:v>
      </x:c>
      <x:c r="H66" t="str">
        <x:v>Settled</x:v>
      </x:c>
      <x:c r="I66" t="str">
        <x:v>Risk Ops</x:v>
      </x:c>
      <x:c r="J66" t="n">
        <x:v>6</x:v>
      </x:c>
      <x:c r="K66" s="90" t="n">
        <x:f>IF(OR(E66="",F66=""),"",F66-E66)</x:f>
        <x:v>0</x:v>
      </x:c>
      <x:c r="L66" t="str">
        <x:f>IF(M66="No Exception","Matched","Exception")</x:f>
        <x:v>Matched</x:v>
      </x:c>
      <x:c r="M66" t="str">
        <x:f>IF(COUNTIF($B$5:$B$124,B66)&gt;1,"Duplicate Reference",IF(E66="","Missing in Internal Ledger",IF(F66="","Missing in Bank",IF(ABS(K66)&gt;Rules!$C$5,"Amount Mismatch",IF(OR(G66="Pending",H66="Pending",H66="Missing"),"Status Mismatch","No Exception")))))</x:f>
        <x:v>No Exception</x:v>
      </x:c>
      <x:c r="N66" t="str">
        <x:f>IF(J66&gt;=Rules!$C$10,"Red &gt;7d",IF(J66&gt;=Rules!$C$9,"Amber 3-6d","Green 0-2d"))</x:f>
        <x:v>Amber 3-6d</x:v>
      </x:c>
      <x:c r="O66" t="str">
        <x:f>IF(OR(N66="Red &gt;7d",M66="Missing in Bank",M66="Missing in Internal Ledger"),"P62",IF(OR(M66="Amount Mismatch",M66="Duplicate Reference"),"P63","P64"))</x:f>
        <x:v>P64</x:v>
      </x:c>
      <x:c r="P66" t="str">
        <x:f>IF(M66="No Exception","NA",IF(M66="Amount Mismatch","Fee/settlement difference",IF(M66="Duplicate Reference","Duplicate posting or retry",IF(M66="Missing in Bank","Settlement delay",IF(M66="Missing in Internal Ledger","Posting/integration issue","Status timing gap")))))</x:f>
        <x:v>NA</x:v>
      </x:c>
      <x:c r="Q66" t="str">
        <x:f>IF(M66="No Exception","No action",IF(O66="P62","Escalate today",IF(O66="P63","Investigate within 48 hrs","Monitor in next batch")))</x:f>
        <x:v>No action</x:v>
      </x:c>
    </x:row>
    <x:row r="67">
      <x:c r="A67" s="88" t="n">
        <x:v>46118</x:v>
      </x:c>
      <x:c r="B67" t="str">
        <x:v>TXN100063</x:v>
      </x:c>
      <x:c r="C67" t="str">
        <x:v>ShopKart</x:v>
      </x:c>
      <x:c r="D67" t="str">
        <x:v>UPI</x:v>
      </x:c>
      <x:c r="E67" s="90" t="n">
        <x:v>16040</x:v>
      </x:c>
      <x:c r="F67" s="90" t="n">
        <x:v>16040</x:v>
      </x:c>
      <x:c r="G67" t="str">
        <x:v>Posted</x:v>
      </x:c>
      <x:c r="H67" t="str">
        <x:v>Settled</x:v>
      </x:c>
      <x:c r="I67" t="str">
        <x:v>Merchant Ops</x:v>
      </x:c>
      <x:c r="J67" t="n">
        <x:v>1</x:v>
      </x:c>
      <x:c r="K67" s="90" t="n">
        <x:f>IF(OR(E67="",F67=""),"",F67-E67)</x:f>
        <x:v>0</x:v>
      </x:c>
      <x:c r="L67" t="str">
        <x:f>IF(M67="No Exception","Matched","Exception")</x:f>
        <x:v>Matched</x:v>
      </x:c>
      <x:c r="M67" t="str">
        <x:f>IF(COUNTIF($B$5:$B$124,B67)&gt;1,"Duplicate Reference",IF(E67="","Missing in Internal Ledger",IF(F67="","Missing in Bank",IF(ABS(K67)&gt;Rules!$C$5,"Amount Mismatch",IF(OR(G67="Pending",H67="Pending",H67="Missing"),"Status Mismatch","No Exception")))))</x:f>
        <x:v>No Exception</x:v>
      </x:c>
      <x:c r="N67" t="str">
        <x:f>IF(J67&gt;=Rules!$C$10,"Red &gt;7d",IF(J67&gt;=Rules!$C$9,"Amber 3-6d","Green 0-2d"))</x:f>
        <x:v>Green 0-2d</x:v>
      </x:c>
      <x:c r="O67" t="str">
        <x:f>IF(OR(N67="Red &gt;7d",M67="Missing in Bank",M67="Missing in Internal Ledger"),"P63",IF(OR(M67="Amount Mismatch",M67="Duplicate Reference"),"P64","P65"))</x:f>
        <x:v>P65</x:v>
      </x:c>
      <x:c r="P67" t="str">
        <x:f>IF(M67="No Exception","NA",IF(M67="Amount Mismatch","Fee/settlement difference",IF(M67="Duplicate Reference","Duplicate posting or retry",IF(M67="Missing in Bank","Settlement delay",IF(M67="Missing in Internal Ledger","Posting/integration issue","Status timing gap")))))</x:f>
        <x:v>NA</x:v>
      </x:c>
      <x:c r="Q67" t="str">
        <x:f>IF(M67="No Exception","No action",IF(O67="P63","Escalate today",IF(O67="P64","Investigate within 48 hrs","Monitor in next batch")))</x:f>
        <x:v>No action</x:v>
      </x:c>
    </x:row>
    <x:row r="68">
      <x:c r="A68" s="88" t="n">
        <x:v>46136</x:v>
      </x:c>
      <x:c r="B68" t="str">
        <x:v>TXN100064</x:v>
      </x:c>
      <x:c r="C68" t="str">
        <x:v>CloudFoods</x:v>
      </x:c>
      <x:c r="D68" t="str">
        <x:v>UPI</x:v>
      </x:c>
      <x:c r="E68" s="90" t="n">
        <x:v>3664</x:v>
      </x:c>
      <x:c r="F68" s="90" t="n">
        <x:v>3664</x:v>
      </x:c>
      <x:c r="G68" t="str">
        <x:v>Posted</x:v>
      </x:c>
      <x:c r="H68" t="str">
        <x:v>Settled</x:v>
      </x:c>
      <x:c r="I68" t="str">
        <x:v>Payments Ops</x:v>
      </x:c>
      <x:c r="J68" t="n">
        <x:v>11</x:v>
      </x:c>
      <x:c r="K68" s="90" t="n">
        <x:f>IF(OR(E68="",F68=""),"",F68-E68)</x:f>
        <x:v>0</x:v>
      </x:c>
      <x:c r="L68" t="str">
        <x:f>IF(M68="No Exception","Matched","Exception")</x:f>
        <x:v>Matched</x:v>
      </x:c>
      <x:c r="M68" t="str">
        <x:f>IF(COUNTIF($B$5:$B$124,B68)&gt;1,"Duplicate Reference",IF(E68="","Missing in Internal Ledger",IF(F68="","Missing in Bank",IF(ABS(K68)&gt;Rules!$C$5,"Amount Mismatch",IF(OR(G68="Pending",H68="Pending",H68="Missing"),"Status Mismatch","No Exception")))))</x:f>
        <x:v>No Exception</x:v>
      </x:c>
      <x:c r="N68" t="str">
        <x:f>IF(J68&gt;=Rules!$C$10,"Red &gt;7d",IF(J68&gt;=Rules!$C$9,"Amber 3-6d","Green 0-2d"))</x:f>
        <x:v>Red &gt;7d</x:v>
      </x:c>
      <x:c r="O68" t="str">
        <x:f>IF(OR(N68="Red &gt;7d",M68="Missing in Bank",M68="Missing in Internal Ledger"),"P64",IF(OR(M68="Amount Mismatch",M68="Duplicate Reference"),"P65","P66"))</x:f>
        <x:v>P64</x:v>
      </x:c>
      <x:c r="P68" t="str">
        <x:f>IF(M68="No Exception","NA",IF(M68="Amount Mismatch","Fee/settlement difference",IF(M68="Duplicate Reference","Duplicate posting or retry",IF(M68="Missing in Bank","Settlement delay",IF(M68="Missing in Internal Ledger","Posting/integration issue","Status timing gap")))))</x:f>
        <x:v>NA</x:v>
      </x:c>
      <x:c r="Q68" t="str">
        <x:f>IF(M68="No Exception","No action",IF(O68="P64","Escalate today",IF(O68="P65","Investigate within 48 hrs","Monitor in next batch")))</x:f>
        <x:v>No action</x:v>
      </x:c>
    </x:row>
    <x:row r="69">
      <x:c r="A69" s="88" t="n">
        <x:v>46135</x:v>
      </x:c>
      <x:c r="B69" t="str">
        <x:v>TXN100065</x:v>
      </x:c>
      <x:c r="C69" t="str">
        <x:v>TravelGo</x:v>
      </x:c>
      <x:c r="D69" t="str">
        <x:v>UPI</x:v>
      </x:c>
      <x:c r="E69" s="90" t="n">
        <x:v>4505</x:v>
      </x:c>
      <x:c r="F69" s="90" t="n">
        <x:v>4505</x:v>
      </x:c>
      <x:c r="G69" t="str">
        <x:v>Pending</x:v>
      </x:c>
      <x:c r="H69" t="str">
        <x:v>Settled</x:v>
      </x:c>
      <x:c r="I69" t="str">
        <x:v>Payments Ops</x:v>
      </x:c>
      <x:c r="J69" t="n">
        <x:v>6</x:v>
      </x:c>
      <x:c r="K69" s="90" t="n">
        <x:f>IF(OR(E69="",F69=""),"",F69-E69)</x:f>
        <x:v>0</x:v>
      </x:c>
      <x:c r="L69" t="str">
        <x:f>IF(M69="No Exception","Matched","Exception")</x:f>
        <x:v>Exception</x:v>
      </x:c>
      <x:c r="M69" t="str">
        <x:f>IF(COUNTIF($B$5:$B$124,B69)&gt;1,"Duplicate Reference",IF(E69="","Missing in Internal Ledger",IF(F69="","Missing in Bank",IF(ABS(K69)&gt;Rules!$C$5,"Amount Mismatch",IF(OR(G69="Pending",H69="Pending",H69="Missing"),"Status Mismatch","No Exception")))))</x:f>
        <x:v>Status Mismatch</x:v>
      </x:c>
      <x:c r="N69" t="str">
        <x:f>IF(J69&gt;=Rules!$C$10,"Red &gt;7d",IF(J69&gt;=Rules!$C$9,"Amber 3-6d","Green 0-2d"))</x:f>
        <x:v>Amber 3-6d</x:v>
      </x:c>
      <x:c r="O69" t="str">
        <x:f>IF(OR(N69="Red &gt;7d",M69="Missing in Bank",M69="Missing in Internal Ledger"),"P65",IF(OR(M69="Amount Mismatch",M69="Duplicate Reference"),"P66","P67"))</x:f>
        <x:v>P67</x:v>
      </x:c>
      <x:c r="P69" t="str">
        <x:f>IF(M69="No Exception","NA",IF(M69="Amount Mismatch","Fee/settlement difference",IF(M69="Duplicate Reference","Duplicate posting or retry",IF(M69="Missing in Bank","Settlement delay",IF(M69="Missing in Internal Ledger","Posting/integration issue","Status timing gap")))))</x:f>
        <x:v>Status timing gap</x:v>
      </x:c>
      <x:c r="Q69" t="str">
        <x:f>IF(M69="No Exception","No action",IF(O69="P65","Escalate today",IF(O69="P66","Investigate within 48 hrs","Monitor in next batch")))</x:f>
        <x:v>Monitor in next batch</x:v>
      </x:c>
    </x:row>
    <x:row r="70">
      <x:c r="A70" s="88" t="n">
        <x:v>46149</x:v>
      </x:c>
      <x:c r="B70" t="str">
        <x:v>TXN100066</x:v>
      </x:c>
      <x:c r="C70" t="str">
        <x:v>Medix</x:v>
      </x:c>
      <x:c r="D70" t="str">
        <x:v>Cards</x:v>
      </x:c>
      <x:c r="E70" s="90" t="n">
        <x:v>10738</x:v>
      </x:c>
      <x:c r="F70" s="90" t="n">
        <x:v>10773</x:v>
      </x:c>
      <x:c r="G70" t="str">
        <x:v>Posted</x:v>
      </x:c>
      <x:c r="H70" t="str">
        <x:v>Settled</x:v>
      </x:c>
      <x:c r="I70" t="str">
        <x:v>Merchant Ops</x:v>
      </x:c>
      <x:c r="J70" t="n">
        <x:v>1</x:v>
      </x:c>
      <x:c r="K70" s="90" t="n">
        <x:f>IF(OR(E70="",F70=""),"",F70-E70)</x:f>
        <x:v>35</x:v>
      </x:c>
      <x:c r="L70" t="str">
        <x:f>IF(M70="No Exception","Matched","Exception")</x:f>
        <x:v>Exception</x:v>
      </x:c>
      <x:c r="M70" t="str">
        <x:f>IF(COUNTIF($B$5:$B$124,B70)&gt;1,"Duplicate Reference",IF(E70="","Missing in Internal Ledger",IF(F70="","Missing in Bank",IF(ABS(K70)&gt;Rules!$C$5,"Amount Mismatch",IF(OR(G70="Pending",H70="Pending",H70="Missing"),"Status Mismatch","No Exception")))))</x:f>
        <x:v>Amount Mismatch</x:v>
      </x:c>
      <x:c r="N70" t="str">
        <x:f>IF(J70&gt;=Rules!$C$10,"Red &gt;7d",IF(J70&gt;=Rules!$C$9,"Amber 3-6d","Green 0-2d"))</x:f>
        <x:v>Green 0-2d</x:v>
      </x:c>
      <x:c r="O70" t="str">
        <x:f>IF(OR(N70="Red &gt;7d",M70="Missing in Bank",M70="Missing in Internal Ledger"),"P66",IF(OR(M70="Amount Mismatch",M70="Duplicate Reference"),"P67","P68"))</x:f>
        <x:v>P67</x:v>
      </x:c>
      <x:c r="P70" t="str">
        <x:f>IF(M70="No Exception","NA",IF(M70="Amount Mismatch","Fee/settlement difference",IF(M70="Duplicate Reference","Duplicate posting or retry",IF(M70="Missing in Bank","Settlement delay",IF(M70="Missing in Internal Ledger","Posting/integration issue","Status timing gap")))))</x:f>
        <x:v>Fee/settlement difference</x:v>
      </x:c>
      <x:c r="Q70" t="str">
        <x:f>IF(M70="No Exception","No action",IF(O70="P66","Escalate today",IF(O70="P67","Investigate within 48 hrs","Monitor in next batch")))</x:f>
        <x:v>Investigate within 48 hrs</x:v>
      </x:c>
    </x:row>
    <x:row r="71">
      <x:c r="A71" s="88" t="n">
        <x:v>46135</x:v>
      </x:c>
      <x:c r="B71" t="str">
        <x:v>TXN100067</x:v>
      </x:c>
      <x:c r="C71" t="str">
        <x:v>EduNext</x:v>
      </x:c>
      <x:c r="D71" t="str">
        <x:v>UPI</x:v>
      </x:c>
      <x:c r="E71" s="90" t="n">
        <x:v>7848</x:v>
      </x:c>
      <x:c r="F71" s="90" t="n">
        <x:v>7848</x:v>
      </x:c>
      <x:c r="G71" t="str">
        <x:v>Posted</x:v>
      </x:c>
      <x:c r="H71" t="str">
        <x:v>Settled</x:v>
      </x:c>
      <x:c r="I71" t="str">
        <x:v>Payments Ops</x:v>
      </x:c>
      <x:c r="J71" t="n">
        <x:v>1</x:v>
      </x:c>
      <x:c r="K71" s="90" t="n">
        <x:f>IF(OR(E71="",F71=""),"",F71-E71)</x:f>
        <x:v>0</x:v>
      </x:c>
      <x:c r="L71" t="str">
        <x:f>IF(M71="No Exception","Matched","Exception")</x:f>
        <x:v>Matched</x:v>
      </x:c>
      <x:c r="M71" t="str">
        <x:f>IF(COUNTIF($B$5:$B$124,B71)&gt;1,"Duplicate Reference",IF(E71="","Missing in Internal Ledger",IF(F71="","Missing in Bank",IF(ABS(K71)&gt;Rules!$C$5,"Amount Mismatch",IF(OR(G71="Pending",H71="Pending",H71="Missing"),"Status Mismatch","No Exception")))))</x:f>
        <x:v>No Exception</x:v>
      </x:c>
      <x:c r="N71" t="str">
        <x:f>IF(J71&gt;=Rules!$C$10,"Red &gt;7d",IF(J71&gt;=Rules!$C$9,"Amber 3-6d","Green 0-2d"))</x:f>
        <x:v>Green 0-2d</x:v>
      </x:c>
      <x:c r="O71" t="str">
        <x:f>IF(OR(N71="Red &gt;7d",M71="Missing in Bank",M71="Missing in Internal Ledger"),"P67",IF(OR(M71="Amount Mismatch",M71="Duplicate Reference"),"P68","P69"))</x:f>
        <x:v>P69</x:v>
      </x:c>
      <x:c r="P71" t="str">
        <x:f>IF(M71="No Exception","NA",IF(M71="Amount Mismatch","Fee/settlement difference",IF(M71="Duplicate Reference","Duplicate posting or retry",IF(M71="Missing in Bank","Settlement delay",IF(M71="Missing in Internal Ledger","Posting/integration issue","Status timing gap")))))</x:f>
        <x:v>NA</x:v>
      </x:c>
      <x:c r="Q71" t="str">
        <x:f>IF(M71="No Exception","No action",IF(O71="P67","Escalate today",IF(O71="P68","Investigate within 48 hrs","Monitor in next batch")))</x:f>
        <x:v>No action</x:v>
      </x:c>
    </x:row>
    <x:row r="72">
      <x:c r="A72" s="88" t="n">
        <x:v>46140</x:v>
      </x:c>
      <x:c r="B72" t="str">
        <x:v>TXN100068</x:v>
      </x:c>
      <x:c r="C72" t="str">
        <x:v>MetroPay</x:v>
      </x:c>
      <x:c r="D72" t="str">
        <x:v>Wallet</x:v>
      </x:c>
      <x:c r="E72" s="90" t="n">
        <x:v>19312</x:v>
      </x:c>
      <x:c r="F72" s="90"/>
      <x:c r="G72" t="str">
        <x:v>Posted</x:v>
      </x:c>
      <x:c r="H72" t="str">
        <x:v>Missing</x:v>
      </x:c>
      <x:c r="I72" t="str">
        <x:v>Finance Ops</x:v>
      </x:c>
      <x:c r="J72" t="n">
        <x:v>3</x:v>
      </x:c>
      <x:c r="K72" s="90" t="str">
        <x:f>IF(OR(E72="",F72=""),"",F72-E72)</x:f>
      </x:c>
      <x:c r="L72" t="str">
        <x:f>IF(M72="No Exception","Matched","Exception")</x:f>
        <x:v>Exception</x:v>
      </x:c>
      <x:c r="M72" t="str">
        <x:f>IF(COUNTIF($B$5:$B$124,B72)&gt;1,"Duplicate Reference",IF(E72="","Missing in Internal Ledger",IF(F72="","Missing in Bank",IF(ABS(K72)&gt;Rules!$C$5,"Amount Mismatch",IF(OR(G72="Pending",H72="Pending",H72="Missing"),"Status Mismatch","No Exception")))))</x:f>
        <x:v>Missing in Bank</x:v>
      </x:c>
      <x:c r="N72" t="str">
        <x:f>IF(J72&gt;=Rules!$C$10,"Red &gt;7d",IF(J72&gt;=Rules!$C$9,"Amber 3-6d","Green 0-2d"))</x:f>
        <x:v>Amber 3-6d</x:v>
      </x:c>
      <x:c r="O72" t="str">
        <x:f>IF(OR(N72="Red &gt;7d",M72="Missing in Bank",M72="Missing in Internal Ledger"),"P68",IF(OR(M72="Amount Mismatch",M72="Duplicate Reference"),"P69","P70"))</x:f>
        <x:v>P68</x:v>
      </x:c>
      <x:c r="P72" t="str">
        <x:f>IF(M72="No Exception","NA",IF(M72="Amount Mismatch","Fee/settlement difference",IF(M72="Duplicate Reference","Duplicate posting or retry",IF(M72="Missing in Bank","Settlement delay",IF(M72="Missing in Internal Ledger","Posting/integration issue","Status timing gap")))))</x:f>
        <x:v>Settlement delay</x:v>
      </x:c>
      <x:c r="Q72" t="str">
        <x:f>IF(M72="No Exception","No action",IF(O72="P68","Escalate today",IF(O72="P69","Investigate within 48 hrs","Monitor in next batch")))</x:f>
        <x:v>Escalate today</x:v>
      </x:c>
    </x:row>
    <x:row r="73">
      <x:c r="A73" s="88" t="n">
        <x:v>46157</x:v>
      </x:c>
      <x:c r="B73" t="str">
        <x:v>TXN100069</x:v>
      </x:c>
      <x:c r="C73" t="str">
        <x:v>QuickRide</x:v>
      </x:c>
      <x:c r="D73" t="str">
        <x:v>Wallet</x:v>
      </x:c>
      <x:c r="E73" s="90" t="n">
        <x:v>6411</x:v>
      </x:c>
      <x:c r="F73" s="90" t="n">
        <x:v>6411</x:v>
      </x:c>
      <x:c r="G73" t="str">
        <x:v>Posted</x:v>
      </x:c>
      <x:c r="H73" t="str">
        <x:v>Settled</x:v>
      </x:c>
      <x:c r="I73" t="str">
        <x:v>Payments Ops</x:v>
      </x:c>
      <x:c r="J73" t="n">
        <x:v>4</x:v>
      </x:c>
      <x:c r="K73" s="90" t="n">
        <x:f>IF(OR(E73="",F73=""),"",F73-E73)</x:f>
        <x:v>0</x:v>
      </x:c>
      <x:c r="L73" t="str">
        <x:f>IF(M73="No Exception","Matched","Exception")</x:f>
        <x:v>Matched</x:v>
      </x:c>
      <x:c r="M73" t="str">
        <x:f>IF(COUNTIF($B$5:$B$124,B73)&gt;1,"Duplicate Reference",IF(E73="","Missing in Internal Ledger",IF(F73="","Missing in Bank",IF(ABS(K73)&gt;Rules!$C$5,"Amount Mismatch",IF(OR(G73="Pending",H73="Pending",H73="Missing"),"Status Mismatch","No Exception")))))</x:f>
        <x:v>No Exception</x:v>
      </x:c>
      <x:c r="N73" t="str">
        <x:f>IF(J73&gt;=Rules!$C$10,"Red &gt;7d",IF(J73&gt;=Rules!$C$9,"Amber 3-6d","Green 0-2d"))</x:f>
        <x:v>Amber 3-6d</x:v>
      </x:c>
      <x:c r="O73" t="str">
        <x:f>IF(OR(N73="Red &gt;7d",M73="Missing in Bank",M73="Missing in Internal Ledger"),"P69",IF(OR(M73="Amount Mismatch",M73="Duplicate Reference"),"P70","P71"))</x:f>
        <x:v>P71</x:v>
      </x:c>
      <x:c r="P73" t="str">
        <x:f>IF(M73="No Exception","NA",IF(M73="Amount Mismatch","Fee/settlement difference",IF(M73="Duplicate Reference","Duplicate posting or retry",IF(M73="Missing in Bank","Settlement delay",IF(M73="Missing in Internal Ledger","Posting/integration issue","Status timing gap")))))</x:f>
        <x:v>NA</x:v>
      </x:c>
      <x:c r="Q73" t="str">
        <x:f>IF(M73="No Exception","No action",IF(O73="P69","Escalate today",IF(O73="P70","Investigate within 48 hrs","Monitor in next batch")))</x:f>
        <x:v>No action</x:v>
      </x:c>
    </x:row>
    <x:row r="74">
      <x:c r="A74" s="88" t="n">
        <x:v>46122</x:v>
      </x:c>
      <x:c r="B74" t="str">
        <x:v>TXN100070</x:v>
      </x:c>
      <x:c r="C74" t="str">
        <x:v>TravelGo</x:v>
      </x:c>
      <x:c r="D74" t="str">
        <x:v>UPI</x:v>
      </x:c>
      <x:c r="E74" s="90" t="n">
        <x:v>700</x:v>
      </x:c>
      <x:c r="F74" s="90" t="n">
        <x:v>700</x:v>
      </x:c>
      <x:c r="G74" t="str">
        <x:v>Posted</x:v>
      </x:c>
      <x:c r="H74" t="str">
        <x:v>Settled</x:v>
      </x:c>
      <x:c r="I74" t="str">
        <x:v>Risk Ops</x:v>
      </x:c>
      <x:c r="J74" t="n">
        <x:v>2</x:v>
      </x:c>
      <x:c r="K74" s="90" t="n">
        <x:f>IF(OR(E74="",F74=""),"",F74-E74)</x:f>
        <x:v>0</x:v>
      </x:c>
      <x:c r="L74" t="str">
        <x:f>IF(M74="No Exception","Matched","Exception")</x:f>
        <x:v>Matched</x:v>
      </x:c>
      <x:c r="M74" t="str">
        <x:f>IF(COUNTIF($B$5:$B$124,B74)&gt;1,"Duplicate Reference",IF(E74="","Missing in Internal Ledger",IF(F74="","Missing in Bank",IF(ABS(K74)&gt;Rules!$C$5,"Amount Mismatch",IF(OR(G74="Pending",H74="Pending",H74="Missing"),"Status Mismatch","No Exception")))))</x:f>
        <x:v>No Exception</x:v>
      </x:c>
      <x:c r="N74" t="str">
        <x:f>IF(J74&gt;=Rules!$C$10,"Red &gt;7d",IF(J74&gt;=Rules!$C$9,"Amber 3-6d","Green 0-2d"))</x:f>
        <x:v>Green 0-2d</x:v>
      </x:c>
      <x:c r="O74" t="str">
        <x:f>IF(OR(N74="Red &gt;7d",M74="Missing in Bank",M74="Missing in Internal Ledger"),"P70",IF(OR(M74="Amount Mismatch",M74="Duplicate Reference"),"P71","P72"))</x:f>
        <x:v>P72</x:v>
      </x:c>
      <x:c r="P74" t="str">
        <x:f>IF(M74="No Exception","NA",IF(M74="Amount Mismatch","Fee/settlement difference",IF(M74="Duplicate Reference","Duplicate posting or retry",IF(M74="Missing in Bank","Settlement delay",IF(M74="Missing in Internal Ledger","Posting/integration issue","Status timing gap")))))</x:f>
        <x:v>NA</x:v>
      </x:c>
      <x:c r="Q74" t="str">
        <x:f>IF(M74="No Exception","No action",IF(O74="P70","Escalate today",IF(O74="P71","Investigate within 48 hrs","Monitor in next batch")))</x:f>
        <x:v>No action</x:v>
      </x:c>
    </x:row>
    <x:row r="75">
      <x:c r="A75" s="88" t="n">
        <x:v>46146</x:v>
      </x:c>
      <x:c r="B75" t="str">
        <x:v>TXN100071</x:v>
      </x:c>
      <x:c r="C75" t="str">
        <x:v>Medix</x:v>
      </x:c>
      <x:c r="D75" t="str">
        <x:v>NetBanking</x:v>
      </x:c>
      <x:c r="E75" s="90" t="n">
        <x:v>1504</x:v>
      </x:c>
      <x:c r="F75" s="90" t="n">
        <x:v>1504</x:v>
      </x:c>
      <x:c r="G75" t="str">
        <x:v>Posted</x:v>
      </x:c>
      <x:c r="H75" t="str">
        <x:v>Settled</x:v>
      </x:c>
      <x:c r="I75" t="str">
        <x:v>Merchant Ops</x:v>
      </x:c>
      <x:c r="J75" t="n">
        <x:v>1</x:v>
      </x:c>
      <x:c r="K75" s="90" t="n">
        <x:f>IF(OR(E75="",F75=""),"",F75-E75)</x:f>
        <x:v>0</x:v>
      </x:c>
      <x:c r="L75" t="str">
        <x:f>IF(M75="No Exception","Matched","Exception")</x:f>
        <x:v>Matched</x:v>
      </x:c>
      <x:c r="M75" t="str">
        <x:f>IF(COUNTIF($B$5:$B$124,B75)&gt;1,"Duplicate Reference",IF(E75="","Missing in Internal Ledger",IF(F75="","Missing in Bank",IF(ABS(K75)&gt;Rules!$C$5,"Amount Mismatch",IF(OR(G75="Pending",H75="Pending",H75="Missing"),"Status Mismatch","No Exception")))))</x:f>
        <x:v>No Exception</x:v>
      </x:c>
      <x:c r="N75" t="str">
        <x:f>IF(J75&gt;=Rules!$C$10,"Red &gt;7d",IF(J75&gt;=Rules!$C$9,"Amber 3-6d","Green 0-2d"))</x:f>
        <x:v>Green 0-2d</x:v>
      </x:c>
      <x:c r="O75" t="str">
        <x:f>IF(OR(N75="Red &gt;7d",M75="Missing in Bank",M75="Missing in Internal Ledger"),"P71",IF(OR(M75="Amount Mismatch",M75="Duplicate Reference"),"P72","P73"))</x:f>
        <x:v>P73</x:v>
      </x:c>
      <x:c r="P75" t="str">
        <x:f>IF(M75="No Exception","NA",IF(M75="Amount Mismatch","Fee/settlement difference",IF(M75="Duplicate Reference","Duplicate posting or retry",IF(M75="Missing in Bank","Settlement delay",IF(M75="Missing in Internal Ledger","Posting/integration issue","Status timing gap")))))</x:f>
        <x:v>NA</x:v>
      </x:c>
      <x:c r="Q75" t="str">
        <x:f>IF(M75="No Exception","No action",IF(O75="P71","Escalate today",IF(O75="P72","Investigate within 48 hrs","Monitor in next batch")))</x:f>
        <x:v>No action</x:v>
      </x:c>
    </x:row>
    <x:row r="76">
      <x:c r="A76" s="88" t="n">
        <x:v>46123</x:v>
      </x:c>
      <x:c r="B76" t="str">
        <x:v>TXN100072</x:v>
      </x:c>
      <x:c r="C76" t="str">
        <x:v>EduNext</x:v>
      </x:c>
      <x:c r="D76" t="str">
        <x:v>Wallet</x:v>
      </x:c>
      <x:c r="E76" s="90" t="n">
        <x:v>15365</x:v>
      </x:c>
      <x:c r="F76" s="90" t="n">
        <x:v>15365</x:v>
      </x:c>
      <x:c r="G76" t="str">
        <x:v>Posted</x:v>
      </x:c>
      <x:c r="H76" t="str">
        <x:v>Settled</x:v>
      </x:c>
      <x:c r="I76" t="str">
        <x:v>Payments Ops</x:v>
      </x:c>
      <x:c r="J76" t="n">
        <x:v>5</x:v>
      </x:c>
      <x:c r="K76" s="90" t="n">
        <x:f>IF(OR(E76="",F76=""),"",F76-E76)</x:f>
        <x:v>0</x:v>
      </x:c>
      <x:c r="L76" t="str">
        <x:f>IF(M76="No Exception","Matched","Exception")</x:f>
        <x:v>Matched</x:v>
      </x:c>
      <x:c r="M76" t="str">
        <x:f>IF(COUNTIF($B$5:$B$124,B76)&gt;1,"Duplicate Reference",IF(E76="","Missing in Internal Ledger",IF(F76="","Missing in Bank",IF(ABS(K76)&gt;Rules!$C$5,"Amount Mismatch",IF(OR(G76="Pending",H76="Pending",H76="Missing"),"Status Mismatch","No Exception")))))</x:f>
        <x:v>No Exception</x:v>
      </x:c>
      <x:c r="N76" t="str">
        <x:f>IF(J76&gt;=Rules!$C$10,"Red &gt;7d",IF(J76&gt;=Rules!$C$9,"Amber 3-6d","Green 0-2d"))</x:f>
        <x:v>Amber 3-6d</x:v>
      </x:c>
      <x:c r="O76" t="str">
        <x:f>IF(OR(N76="Red &gt;7d",M76="Missing in Bank",M76="Missing in Internal Ledger"),"P72",IF(OR(M76="Amount Mismatch",M76="Duplicate Reference"),"P73","P74"))</x:f>
        <x:v>P74</x:v>
      </x:c>
      <x:c r="P76" t="str">
        <x:f>IF(M76="No Exception","NA",IF(M76="Amount Mismatch","Fee/settlement difference",IF(M76="Duplicate Reference","Duplicate posting or retry",IF(M76="Missing in Bank","Settlement delay",IF(M76="Missing in Internal Ledger","Posting/integration issue","Status timing gap")))))</x:f>
        <x:v>NA</x:v>
      </x:c>
      <x:c r="Q76" t="str">
        <x:f>IF(M76="No Exception","No action",IF(O76="P72","Escalate today",IF(O76="P73","Investigate within 48 hrs","Monitor in next batch")))</x:f>
        <x:v>No action</x:v>
      </x:c>
    </x:row>
    <x:row r="77">
      <x:c r="A77" s="88" t="n">
        <x:v>46118</x:v>
      </x:c>
      <x:c r="B77" t="str">
        <x:v>TXN100073</x:v>
      </x:c>
      <x:c r="C77" t="str">
        <x:v>MetroPay</x:v>
      </x:c>
      <x:c r="D77" t="str">
        <x:v>Cards</x:v>
      </x:c>
      <x:c r="E77" s="90" t="n">
        <x:v>19098</x:v>
      </x:c>
      <x:c r="F77" s="90" t="n">
        <x:v>19098</x:v>
      </x:c>
      <x:c r="G77" t="str">
        <x:v>Posted</x:v>
      </x:c>
      <x:c r="H77" t="str">
        <x:v>Settled</x:v>
      </x:c>
      <x:c r="I77" t="str">
        <x:v>Risk Ops</x:v>
      </x:c>
      <x:c r="J77" t="n">
        <x:v>9</x:v>
      </x:c>
      <x:c r="K77" s="90" t="n">
        <x:f>IF(OR(E77="",F77=""),"",F77-E77)</x:f>
        <x:v>0</x:v>
      </x:c>
      <x:c r="L77" t="str">
        <x:f>IF(M77="No Exception","Matched","Exception")</x:f>
        <x:v>Matched</x:v>
      </x:c>
      <x:c r="M77" t="str">
        <x:f>IF(COUNTIF($B$5:$B$124,B77)&gt;1,"Duplicate Reference",IF(E77="","Missing in Internal Ledger",IF(F77="","Missing in Bank",IF(ABS(K77)&gt;Rules!$C$5,"Amount Mismatch",IF(OR(G77="Pending",H77="Pending",H77="Missing"),"Status Mismatch","No Exception")))))</x:f>
        <x:v>No Exception</x:v>
      </x:c>
      <x:c r="N77" t="str">
        <x:f>IF(J77&gt;=Rules!$C$10,"Red &gt;7d",IF(J77&gt;=Rules!$C$9,"Amber 3-6d","Green 0-2d"))</x:f>
        <x:v>Red &gt;7d</x:v>
      </x:c>
      <x:c r="O77" t="str">
        <x:f>IF(OR(N77="Red &gt;7d",M77="Missing in Bank",M77="Missing in Internal Ledger"),"P73",IF(OR(M77="Amount Mismatch",M77="Duplicate Reference"),"P74","P75"))</x:f>
        <x:v>P73</x:v>
      </x:c>
      <x:c r="P77" t="str">
        <x:f>IF(M77="No Exception","NA",IF(M77="Amount Mismatch","Fee/settlement difference",IF(M77="Duplicate Reference","Duplicate posting or retry",IF(M77="Missing in Bank","Settlement delay",IF(M77="Missing in Internal Ledger","Posting/integration issue","Status timing gap")))))</x:f>
        <x:v>NA</x:v>
      </x:c>
      <x:c r="Q77" t="str">
        <x:f>IF(M77="No Exception","No action",IF(O77="P73","Escalate today",IF(O77="P74","Investigate within 48 hrs","Monitor in next batch")))</x:f>
        <x:v>No action</x:v>
      </x:c>
    </x:row>
    <x:row r="78">
      <x:c r="A78" s="88" t="n">
        <x:v>46118</x:v>
      </x:c>
      <x:c r="B78" t="str">
        <x:v>TXN100074</x:v>
      </x:c>
      <x:c r="C78" t="str">
        <x:v>QuickRide</x:v>
      </x:c>
      <x:c r="D78" t="str">
        <x:v>NetBanking</x:v>
      </x:c>
      <x:c r="E78" s="90" t="n">
        <x:v>2130</x:v>
      </x:c>
      <x:c r="F78" s="90" t="n">
        <x:v>2130</x:v>
      </x:c>
      <x:c r="G78" t="str">
        <x:v>Posted</x:v>
      </x:c>
      <x:c r="H78" t="str">
        <x:v>Settled</x:v>
      </x:c>
      <x:c r="I78" t="str">
        <x:v>Merchant Ops</x:v>
      </x:c>
      <x:c r="J78" t="n">
        <x:v>10</x:v>
      </x:c>
      <x:c r="K78" s="90" t="n">
        <x:f>IF(OR(E78="",F78=""),"",F78-E78)</x:f>
        <x:v>0</x:v>
      </x:c>
      <x:c r="L78" t="str">
        <x:f>IF(M78="No Exception","Matched","Exception")</x:f>
        <x:v>Matched</x:v>
      </x:c>
      <x:c r="M78" t="str">
        <x:f>IF(COUNTIF($B$5:$B$124,B78)&gt;1,"Duplicate Reference",IF(E78="","Missing in Internal Ledger",IF(F78="","Missing in Bank",IF(ABS(K78)&gt;Rules!$C$5,"Amount Mismatch",IF(OR(G78="Pending",H78="Pending",H78="Missing"),"Status Mismatch","No Exception")))))</x:f>
        <x:v>No Exception</x:v>
      </x:c>
      <x:c r="N78" t="str">
        <x:f>IF(J78&gt;=Rules!$C$10,"Red &gt;7d",IF(J78&gt;=Rules!$C$9,"Amber 3-6d","Green 0-2d"))</x:f>
        <x:v>Red &gt;7d</x:v>
      </x:c>
      <x:c r="O78" t="str">
        <x:f>IF(OR(N78="Red &gt;7d",M78="Missing in Bank",M78="Missing in Internal Ledger"),"P74",IF(OR(M78="Amount Mismatch",M78="Duplicate Reference"),"P75","P76"))</x:f>
        <x:v>P74</x:v>
      </x:c>
      <x:c r="P78" t="str">
        <x:f>IF(M78="No Exception","NA",IF(M78="Amount Mismatch","Fee/settlement difference",IF(M78="Duplicate Reference","Duplicate posting or retry",IF(M78="Missing in Bank","Settlement delay",IF(M78="Missing in Internal Ledger","Posting/integration issue","Status timing gap")))))</x:f>
        <x:v>NA</x:v>
      </x:c>
      <x:c r="Q78" t="str">
        <x:f>IF(M78="No Exception","No action",IF(O78="P74","Escalate today",IF(O78="P75","Investigate within 48 hrs","Monitor in next batch")))</x:f>
        <x:v>No action</x:v>
      </x:c>
    </x:row>
    <x:row r="79">
      <x:c r="A79" s="88" t="n">
        <x:v>46141</x:v>
      </x:c>
      <x:c r="B79" t="str">
        <x:v>TXN100075</x:v>
      </x:c>
      <x:c r="C79" t="str">
        <x:v>TravelGo</x:v>
      </x:c>
      <x:c r="D79" t="str">
        <x:v>Wallet</x:v>
      </x:c>
      <x:c r="E79" s="90" t="n">
        <x:v>16414</x:v>
      </x:c>
      <x:c r="F79" s="90" t="n">
        <x:v>16414</x:v>
      </x:c>
      <x:c r="G79" t="str">
        <x:v>Posted</x:v>
      </x:c>
      <x:c r="H79" t="str">
        <x:v>Settled</x:v>
      </x:c>
      <x:c r="I79" t="str">
        <x:v>Risk Ops</x:v>
      </x:c>
      <x:c r="J79" t="n">
        <x:v>9</x:v>
      </x:c>
      <x:c r="K79" s="90" t="n">
        <x:f>IF(OR(E79="",F79=""),"",F79-E79)</x:f>
        <x:v>0</x:v>
      </x:c>
      <x:c r="L79" t="str">
        <x:f>IF(M79="No Exception","Matched","Exception")</x:f>
        <x:v>Matched</x:v>
      </x:c>
      <x:c r="M79" t="str">
        <x:f>IF(COUNTIF($B$5:$B$124,B79)&gt;1,"Duplicate Reference",IF(E79="","Missing in Internal Ledger",IF(F79="","Missing in Bank",IF(ABS(K79)&gt;Rules!$C$5,"Amount Mismatch",IF(OR(G79="Pending",H79="Pending",H79="Missing"),"Status Mismatch","No Exception")))))</x:f>
        <x:v>No Exception</x:v>
      </x:c>
      <x:c r="N79" t="str">
        <x:f>IF(J79&gt;=Rules!$C$10,"Red &gt;7d",IF(J79&gt;=Rules!$C$9,"Amber 3-6d","Green 0-2d"))</x:f>
        <x:v>Red &gt;7d</x:v>
      </x:c>
      <x:c r="O79" t="str">
        <x:f>IF(OR(N79="Red &gt;7d",M79="Missing in Bank",M79="Missing in Internal Ledger"),"P75",IF(OR(M79="Amount Mismatch",M79="Duplicate Reference"),"P76","P77"))</x:f>
        <x:v>P75</x:v>
      </x:c>
      <x:c r="P79" t="str">
        <x:f>IF(M79="No Exception","NA",IF(M79="Amount Mismatch","Fee/settlement difference",IF(M79="Duplicate Reference","Duplicate posting or retry",IF(M79="Missing in Bank","Settlement delay",IF(M79="Missing in Internal Ledger","Posting/integration issue","Status timing gap")))))</x:f>
        <x:v>NA</x:v>
      </x:c>
      <x:c r="Q79" t="str">
        <x:f>IF(M79="No Exception","No action",IF(O79="P75","Escalate today",IF(O79="P76","Investigate within 48 hrs","Monitor in next batch")))</x:f>
        <x:v>No action</x:v>
      </x:c>
    </x:row>
    <x:row r="80">
      <x:c r="A80" s="88" t="n">
        <x:v>46135</x:v>
      </x:c>
      <x:c r="B80" t="str">
        <x:v>TXN100076</x:v>
      </x:c>
      <x:c r="C80" t="str">
        <x:v>TravelGo</x:v>
      </x:c>
      <x:c r="D80" t="str">
        <x:v>UPI</x:v>
      </x:c>
      <x:c r="E80" s="90"/>
      <x:c r="F80" s="90" t="n">
        <x:v>17288</x:v>
      </x:c>
      <x:c r="G80" t="str">
        <x:v>Missing</x:v>
      </x:c>
      <x:c r="H80" t="str">
        <x:v>Settled</x:v>
      </x:c>
      <x:c r="I80" t="str">
        <x:v>Payments Ops</x:v>
      </x:c>
      <x:c r="J80" t="n">
        <x:v>1</x:v>
      </x:c>
      <x:c r="K80" s="90" t="str">
        <x:f>IF(OR(E80="",F80=""),"",F80-E80)</x:f>
      </x:c>
      <x:c r="L80" t="str">
        <x:f>IF(M80="No Exception","Matched","Exception")</x:f>
        <x:v>Exception</x:v>
      </x:c>
      <x:c r="M80" t="str">
        <x:f>IF(COUNTIF($B$5:$B$124,B80)&gt;1,"Duplicate Reference",IF(E80="","Missing in Internal Ledger",IF(F80="","Missing in Bank",IF(ABS(K80)&gt;Rules!$C$5,"Amount Mismatch",IF(OR(G80="Pending",H80="Pending",H80="Missing"),"Status Mismatch","No Exception")))))</x:f>
        <x:v>Missing in Internal Ledger</x:v>
      </x:c>
      <x:c r="N80" t="str">
        <x:f>IF(J80&gt;=Rules!$C$10,"Red &gt;7d",IF(J80&gt;=Rules!$C$9,"Amber 3-6d","Green 0-2d"))</x:f>
        <x:v>Green 0-2d</x:v>
      </x:c>
      <x:c r="O80" t="str">
        <x:f>IF(OR(N80="Red &gt;7d",M80="Missing in Bank",M80="Missing in Internal Ledger"),"P76",IF(OR(M80="Amount Mismatch",M80="Duplicate Reference"),"P77","P78"))</x:f>
        <x:v>P76</x:v>
      </x:c>
      <x:c r="P80" t="str">
        <x:f>IF(M80="No Exception","NA",IF(M80="Amount Mismatch","Fee/settlement difference",IF(M80="Duplicate Reference","Duplicate posting or retry",IF(M80="Missing in Bank","Settlement delay",IF(M80="Missing in Internal Ledger","Posting/integration issue","Status timing gap")))))</x:f>
        <x:v>Posting/integration issue</x:v>
      </x:c>
      <x:c r="Q80" t="str">
        <x:f>IF(M80="No Exception","No action",IF(O80="P76","Escalate today",IF(O80="P77","Investigate within 48 hrs","Monitor in next batch")))</x:f>
        <x:v>Escalate today</x:v>
      </x:c>
    </x:row>
    <x:row r="81">
      <x:c r="A81" s="88" t="n">
        <x:v>46155</x:v>
      </x:c>
      <x:c r="B81" t="str">
        <x:v>TXN100077</x:v>
      </x:c>
      <x:c r="C81" t="str">
        <x:v>QuickRide</x:v>
      </x:c>
      <x:c r="D81" t="str">
        <x:v>UPI</x:v>
      </x:c>
      <x:c r="E81" s="90" t="n">
        <x:v>19935</x:v>
      </x:c>
      <x:c r="F81" s="90" t="n">
        <x:v>20055</x:v>
      </x:c>
      <x:c r="G81" t="str">
        <x:v>Posted</x:v>
      </x:c>
      <x:c r="H81" t="str">
        <x:v>Settled</x:v>
      </x:c>
      <x:c r="I81" t="str">
        <x:v>Risk Ops</x:v>
      </x:c>
      <x:c r="J81" t="n">
        <x:v>8</x:v>
      </x:c>
      <x:c r="K81" s="90" t="n">
        <x:f>IF(OR(E81="",F81=""),"",F81-E81)</x:f>
        <x:v>120</x:v>
      </x:c>
      <x:c r="L81" t="str">
        <x:f>IF(M81="No Exception","Matched","Exception")</x:f>
        <x:v>Exception</x:v>
      </x:c>
      <x:c r="M81" t="str">
        <x:f>IF(COUNTIF($B$5:$B$124,B81)&gt;1,"Duplicate Reference",IF(E81="","Missing in Internal Ledger",IF(F81="","Missing in Bank",IF(ABS(K81)&gt;Rules!$C$5,"Amount Mismatch",IF(OR(G81="Pending",H81="Pending",H81="Missing"),"Status Mismatch","No Exception")))))</x:f>
        <x:v>Amount Mismatch</x:v>
      </x:c>
      <x:c r="N81" t="str">
        <x:f>IF(J81&gt;=Rules!$C$10,"Red &gt;7d",IF(J81&gt;=Rules!$C$9,"Amber 3-6d","Green 0-2d"))</x:f>
        <x:v>Red &gt;7d</x:v>
      </x:c>
      <x:c r="O81" t="str">
        <x:f>IF(OR(N81="Red &gt;7d",M81="Missing in Bank",M81="Missing in Internal Ledger"),"P77",IF(OR(M81="Amount Mismatch",M81="Duplicate Reference"),"P78","P79"))</x:f>
        <x:v>P77</x:v>
      </x:c>
      <x:c r="P81" t="str">
        <x:f>IF(M81="No Exception","NA",IF(M81="Amount Mismatch","Fee/settlement difference",IF(M81="Duplicate Reference","Duplicate posting or retry",IF(M81="Missing in Bank","Settlement delay",IF(M81="Missing in Internal Ledger","Posting/integration issue","Status timing gap")))))</x:f>
        <x:v>Fee/settlement difference</x:v>
      </x:c>
      <x:c r="Q81" t="str">
        <x:f>IF(M81="No Exception","No action",IF(O81="P77","Escalate today",IF(O81="P78","Investigate within 48 hrs","Monitor in next batch")))</x:f>
        <x:v>Escalate today</x:v>
      </x:c>
    </x:row>
    <x:row r="82">
      <x:c r="A82" s="88" t="n">
        <x:v>46116</x:v>
      </x:c>
      <x:c r="B82" t="str">
        <x:v>TXN100078</x:v>
      </x:c>
      <x:c r="C82" t="str">
        <x:v>MetroPay</x:v>
      </x:c>
      <x:c r="D82" t="str">
        <x:v>Cards</x:v>
      </x:c>
      <x:c r="E82" s="90" t="n">
        <x:v>13451</x:v>
      </x:c>
      <x:c r="F82" s="90" t="n">
        <x:v>13451</x:v>
      </x:c>
      <x:c r="G82" t="str">
        <x:v>Pending</x:v>
      </x:c>
      <x:c r="H82" t="str">
        <x:v>Settled</x:v>
      </x:c>
      <x:c r="I82" t="str">
        <x:v>Payments Ops</x:v>
      </x:c>
      <x:c r="J82" t="n">
        <x:v>9</x:v>
      </x:c>
      <x:c r="K82" s="90" t="n">
        <x:f>IF(OR(E82="",F82=""),"",F82-E82)</x:f>
        <x:v>0</x:v>
      </x:c>
      <x:c r="L82" t="str">
        <x:f>IF(M82="No Exception","Matched","Exception")</x:f>
        <x:v>Exception</x:v>
      </x:c>
      <x:c r="M82" t="str">
        <x:f>IF(COUNTIF($B$5:$B$124,B82)&gt;1,"Duplicate Reference",IF(E82="","Missing in Internal Ledger",IF(F82="","Missing in Bank",IF(ABS(K82)&gt;Rules!$C$5,"Amount Mismatch",IF(OR(G82="Pending",H82="Pending",H82="Missing"),"Status Mismatch","No Exception")))))</x:f>
        <x:v>Status Mismatch</x:v>
      </x:c>
      <x:c r="N82" t="str">
        <x:f>IF(J82&gt;=Rules!$C$10,"Red &gt;7d",IF(J82&gt;=Rules!$C$9,"Amber 3-6d","Green 0-2d"))</x:f>
        <x:v>Red &gt;7d</x:v>
      </x:c>
      <x:c r="O82" t="str">
        <x:f>IF(OR(N82="Red &gt;7d",M82="Missing in Bank",M82="Missing in Internal Ledger"),"P78",IF(OR(M82="Amount Mismatch",M82="Duplicate Reference"),"P79","P80"))</x:f>
        <x:v>P78</x:v>
      </x:c>
      <x:c r="P82" t="str">
        <x:f>IF(M82="No Exception","NA",IF(M82="Amount Mismatch","Fee/settlement difference",IF(M82="Duplicate Reference","Duplicate posting or retry",IF(M82="Missing in Bank","Settlement delay",IF(M82="Missing in Internal Ledger","Posting/integration issue","Status timing gap")))))</x:f>
        <x:v>Status timing gap</x:v>
      </x:c>
      <x:c r="Q82" t="str">
        <x:f>IF(M82="No Exception","No action",IF(O82="P78","Escalate today",IF(O82="P79","Investigate within 48 hrs","Monitor in next batch")))</x:f>
        <x:v>Escalate today</x:v>
      </x:c>
    </x:row>
    <x:row r="83">
      <x:c r="A83" s="88" t="n">
        <x:v>46121</x:v>
      </x:c>
      <x:c r="B83" t="str">
        <x:v>TXN100079</x:v>
      </x:c>
      <x:c r="C83" t="str">
        <x:v>QuickRide</x:v>
      </x:c>
      <x:c r="D83" t="str">
        <x:v>Wallet</x:v>
      </x:c>
      <x:c r="E83" s="90" t="n">
        <x:v>7421</x:v>
      </x:c>
      <x:c r="F83" s="90" t="n">
        <x:v>7421</x:v>
      </x:c>
      <x:c r="G83" t="str">
        <x:v>Posted</x:v>
      </x:c>
      <x:c r="H83" t="str">
        <x:v>Settled</x:v>
      </x:c>
      <x:c r="I83" t="str">
        <x:v>Payments Ops</x:v>
      </x:c>
      <x:c r="J83" t="n">
        <x:v>12</x:v>
      </x:c>
      <x:c r="K83" s="90" t="n">
        <x:f>IF(OR(E83="",F83=""),"",F83-E83)</x:f>
        <x:v>0</x:v>
      </x:c>
      <x:c r="L83" t="str">
        <x:f>IF(M83="No Exception","Matched","Exception")</x:f>
        <x:v>Matched</x:v>
      </x:c>
      <x:c r="M83" t="str">
        <x:f>IF(COUNTIF($B$5:$B$124,B83)&gt;1,"Duplicate Reference",IF(E83="","Missing in Internal Ledger",IF(F83="","Missing in Bank",IF(ABS(K83)&gt;Rules!$C$5,"Amount Mismatch",IF(OR(G83="Pending",H83="Pending",H83="Missing"),"Status Mismatch","No Exception")))))</x:f>
        <x:v>No Exception</x:v>
      </x:c>
      <x:c r="N83" t="str">
        <x:f>IF(J83&gt;=Rules!$C$10,"Red &gt;7d",IF(J83&gt;=Rules!$C$9,"Amber 3-6d","Green 0-2d"))</x:f>
        <x:v>Red &gt;7d</x:v>
      </x:c>
      <x:c r="O83" t="str">
        <x:f>IF(OR(N83="Red &gt;7d",M83="Missing in Bank",M83="Missing in Internal Ledger"),"P79",IF(OR(M83="Amount Mismatch",M83="Duplicate Reference"),"P80","P81"))</x:f>
        <x:v>P79</x:v>
      </x:c>
      <x:c r="P83" t="str">
        <x:f>IF(M83="No Exception","NA",IF(M83="Amount Mismatch","Fee/settlement difference",IF(M83="Duplicate Reference","Duplicate posting or retry",IF(M83="Missing in Bank","Settlement delay",IF(M83="Missing in Internal Ledger","Posting/integration issue","Status timing gap")))))</x:f>
        <x:v>NA</x:v>
      </x:c>
      <x:c r="Q83" t="str">
        <x:f>IF(M83="No Exception","No action",IF(O83="P79","Escalate today",IF(O83="P80","Investigate within 48 hrs","Monitor in next batch")))</x:f>
        <x:v>No action</x:v>
      </x:c>
    </x:row>
    <x:row r="84">
      <x:c r="A84" s="88" t="n">
        <x:v>46144</x:v>
      </x:c>
      <x:c r="B84" t="str">
        <x:v>TXN100080</x:v>
      </x:c>
      <x:c r="C84" t="str">
        <x:v>TravelGo</x:v>
      </x:c>
      <x:c r="D84" t="str">
        <x:v>Cards</x:v>
      </x:c>
      <x:c r="E84" s="90" t="n">
        <x:v>4431</x:v>
      </x:c>
      <x:c r="F84" s="90" t="n">
        <x:v>4431</x:v>
      </x:c>
      <x:c r="G84" t="str">
        <x:v>Posted</x:v>
      </x:c>
      <x:c r="H84" t="str">
        <x:v>Settled</x:v>
      </x:c>
      <x:c r="I84" t="str">
        <x:v>Risk Ops</x:v>
      </x:c>
      <x:c r="J84" t="n">
        <x:v>0</x:v>
      </x:c>
      <x:c r="K84" s="90" t="n">
        <x:f>IF(OR(E84="",F84=""),"",F84-E84)</x:f>
        <x:v>0</x:v>
      </x:c>
      <x:c r="L84" t="str">
        <x:f>IF(M84="No Exception","Matched","Exception")</x:f>
        <x:v>Matched</x:v>
      </x:c>
      <x:c r="M84" t="str">
        <x:f>IF(COUNTIF($B$5:$B$124,B84)&gt;1,"Duplicate Reference",IF(E84="","Missing in Internal Ledger",IF(F84="","Missing in Bank",IF(ABS(K84)&gt;Rules!$C$5,"Amount Mismatch",IF(OR(G84="Pending",H84="Pending",H84="Missing"),"Status Mismatch","No Exception")))))</x:f>
        <x:v>No Exception</x:v>
      </x:c>
      <x:c r="N84" t="str">
        <x:f>IF(J84&gt;=Rules!$C$10,"Red &gt;7d",IF(J84&gt;=Rules!$C$9,"Amber 3-6d","Green 0-2d"))</x:f>
        <x:v>Green 0-2d</x:v>
      </x:c>
      <x:c r="O84" t="str">
        <x:f>IF(OR(N84="Red &gt;7d",M84="Missing in Bank",M84="Missing in Internal Ledger"),"P80",IF(OR(M84="Amount Mismatch",M84="Duplicate Reference"),"P81","P82"))</x:f>
        <x:v>P82</x:v>
      </x:c>
      <x:c r="P84" t="str">
        <x:f>IF(M84="No Exception","NA",IF(M84="Amount Mismatch","Fee/settlement difference",IF(M84="Duplicate Reference","Duplicate posting or retry",IF(M84="Missing in Bank","Settlement delay",IF(M84="Missing in Internal Ledger","Posting/integration issue","Status timing gap")))))</x:f>
        <x:v>NA</x:v>
      </x:c>
      <x:c r="Q84" t="str">
        <x:f>IF(M84="No Exception","No action",IF(O84="P80","Escalate today",IF(O84="P81","Investigate within 48 hrs","Monitor in next batch")))</x:f>
        <x:v>No action</x:v>
      </x:c>
    </x:row>
    <x:row r="85">
      <x:c r="A85" s="88" t="n">
        <x:v>46158</x:v>
      </x:c>
      <x:c r="B85" t="str">
        <x:v>TXN100081</x:v>
      </x:c>
      <x:c r="C85" t="str">
        <x:v>Medix</x:v>
      </x:c>
      <x:c r="D85" t="str">
        <x:v>Wallet</x:v>
      </x:c>
      <x:c r="E85" s="90" t="n">
        <x:v>12958</x:v>
      </x:c>
      <x:c r="F85" s="90" t="n">
        <x:v>12958</x:v>
      </x:c>
      <x:c r="G85" t="str">
        <x:v>Posted</x:v>
      </x:c>
      <x:c r="H85" t="str">
        <x:v>Settled</x:v>
      </x:c>
      <x:c r="I85" t="str">
        <x:v>Finance Ops</x:v>
      </x:c>
      <x:c r="J85" t="n">
        <x:v>8</x:v>
      </x:c>
      <x:c r="K85" s="90" t="n">
        <x:f>IF(OR(E85="",F85=""),"",F85-E85)</x:f>
        <x:v>0</x:v>
      </x:c>
      <x:c r="L85" t="str">
        <x:f>IF(M85="No Exception","Matched","Exception")</x:f>
        <x:v>Matched</x:v>
      </x:c>
      <x:c r="M85" t="str">
        <x:f>IF(COUNTIF($B$5:$B$124,B85)&gt;1,"Duplicate Reference",IF(E85="","Missing in Internal Ledger",IF(F85="","Missing in Bank",IF(ABS(K85)&gt;Rules!$C$5,"Amount Mismatch",IF(OR(G85="Pending",H85="Pending",H85="Missing"),"Status Mismatch","No Exception")))))</x:f>
        <x:v>No Exception</x:v>
      </x:c>
      <x:c r="N85" t="str">
        <x:f>IF(J85&gt;=Rules!$C$10,"Red &gt;7d",IF(J85&gt;=Rules!$C$9,"Amber 3-6d","Green 0-2d"))</x:f>
        <x:v>Red &gt;7d</x:v>
      </x:c>
      <x:c r="O85" t="str">
        <x:f>IF(OR(N85="Red &gt;7d",M85="Missing in Bank",M85="Missing in Internal Ledger"),"P81",IF(OR(M85="Amount Mismatch",M85="Duplicate Reference"),"P82","P83"))</x:f>
        <x:v>P81</x:v>
      </x:c>
      <x:c r="P85" t="str">
        <x:f>IF(M85="No Exception","NA",IF(M85="Amount Mismatch","Fee/settlement difference",IF(M85="Duplicate Reference","Duplicate posting or retry",IF(M85="Missing in Bank","Settlement delay",IF(M85="Missing in Internal Ledger","Posting/integration issue","Status timing gap")))))</x:f>
        <x:v>NA</x:v>
      </x:c>
      <x:c r="Q85" t="str">
        <x:f>IF(M85="No Exception","No action",IF(O85="P81","Escalate today",IF(O85="P82","Investigate within 48 hrs","Monitor in next batch")))</x:f>
        <x:v>No action</x:v>
      </x:c>
    </x:row>
    <x:row r="86">
      <x:c r="A86" s="88" t="n">
        <x:v>46115</x:v>
      </x:c>
      <x:c r="B86" t="str">
        <x:v>TXN100082</x:v>
      </x:c>
      <x:c r="C86" t="str">
        <x:v>TravelGo</x:v>
      </x:c>
      <x:c r="D86" t="str">
        <x:v>UPI</x:v>
      </x:c>
      <x:c r="E86" s="90" t="n">
        <x:v>13511</x:v>
      </x:c>
      <x:c r="F86" s="90" t="n">
        <x:v>13511</x:v>
      </x:c>
      <x:c r="G86" t="str">
        <x:v>Posted</x:v>
      </x:c>
      <x:c r="H86" t="str">
        <x:v>Settled</x:v>
      </x:c>
      <x:c r="I86" t="str">
        <x:v>Merchant Ops</x:v>
      </x:c>
      <x:c r="J86" t="n">
        <x:v>11</x:v>
      </x:c>
      <x:c r="K86" s="90" t="n">
        <x:f>IF(OR(E86="",F86=""),"",F86-E86)</x:f>
        <x:v>0</x:v>
      </x:c>
      <x:c r="L86" t="str">
        <x:f>IF(M86="No Exception","Matched","Exception")</x:f>
        <x:v>Matched</x:v>
      </x:c>
      <x:c r="M86" t="str">
        <x:f>IF(COUNTIF($B$5:$B$124,B86)&gt;1,"Duplicate Reference",IF(E86="","Missing in Internal Ledger",IF(F86="","Missing in Bank",IF(ABS(K86)&gt;Rules!$C$5,"Amount Mismatch",IF(OR(G86="Pending",H86="Pending",H86="Missing"),"Status Mismatch","No Exception")))))</x:f>
        <x:v>No Exception</x:v>
      </x:c>
      <x:c r="N86" t="str">
        <x:f>IF(J86&gt;=Rules!$C$10,"Red &gt;7d",IF(J86&gt;=Rules!$C$9,"Amber 3-6d","Green 0-2d"))</x:f>
        <x:v>Red &gt;7d</x:v>
      </x:c>
      <x:c r="O86" t="str">
        <x:f>IF(OR(N86="Red &gt;7d",M86="Missing in Bank",M86="Missing in Internal Ledger"),"P82",IF(OR(M86="Amount Mismatch",M86="Duplicate Reference"),"P83","P84"))</x:f>
        <x:v>P82</x:v>
      </x:c>
      <x:c r="P86" t="str">
        <x:f>IF(M86="No Exception","NA",IF(M86="Amount Mismatch","Fee/settlement difference",IF(M86="Duplicate Reference","Duplicate posting or retry",IF(M86="Missing in Bank","Settlement delay",IF(M86="Missing in Internal Ledger","Posting/integration issue","Status timing gap")))))</x:f>
        <x:v>NA</x:v>
      </x:c>
      <x:c r="Q86" t="str">
        <x:f>IF(M86="No Exception","No action",IF(O86="P82","Escalate today",IF(O86="P83","Investigate within 48 hrs","Monitor in next batch")))</x:f>
        <x:v>No action</x:v>
      </x:c>
    </x:row>
    <x:row r="87">
      <x:c r="A87" s="88" t="n">
        <x:v>46149</x:v>
      </x:c>
      <x:c r="B87" t="str">
        <x:v>TXN100083</x:v>
      </x:c>
      <x:c r="C87" t="str">
        <x:v>TravelGo</x:v>
      </x:c>
      <x:c r="D87" t="str">
        <x:v>NetBanking</x:v>
      </x:c>
      <x:c r="E87" s="90" t="n">
        <x:v>3051</x:v>
      </x:c>
      <x:c r="F87" s="90" t="n">
        <x:v>3051</x:v>
      </x:c>
      <x:c r="G87" t="str">
        <x:v>Posted</x:v>
      </x:c>
      <x:c r="H87" t="str">
        <x:v>Settled</x:v>
      </x:c>
      <x:c r="I87" t="str">
        <x:v>Merchant Ops</x:v>
      </x:c>
      <x:c r="J87" t="n">
        <x:v>5</x:v>
      </x:c>
      <x:c r="K87" s="90" t="n">
        <x:f>IF(OR(E87="",F87=""),"",F87-E87)</x:f>
        <x:v>0</x:v>
      </x:c>
      <x:c r="L87" t="str">
        <x:f>IF(M87="No Exception","Matched","Exception")</x:f>
        <x:v>Matched</x:v>
      </x:c>
      <x:c r="M87" t="str">
        <x:f>IF(COUNTIF($B$5:$B$124,B87)&gt;1,"Duplicate Reference",IF(E87="","Missing in Internal Ledger",IF(F87="","Missing in Bank",IF(ABS(K87)&gt;Rules!$C$5,"Amount Mismatch",IF(OR(G87="Pending",H87="Pending",H87="Missing"),"Status Mismatch","No Exception")))))</x:f>
        <x:v>No Exception</x:v>
      </x:c>
      <x:c r="N87" t="str">
        <x:f>IF(J87&gt;=Rules!$C$10,"Red &gt;7d",IF(J87&gt;=Rules!$C$9,"Amber 3-6d","Green 0-2d"))</x:f>
        <x:v>Amber 3-6d</x:v>
      </x:c>
      <x:c r="O87" t="str">
        <x:f>IF(OR(N87="Red &gt;7d",M87="Missing in Bank",M87="Missing in Internal Ledger"),"P83",IF(OR(M87="Amount Mismatch",M87="Duplicate Reference"),"P84","P85"))</x:f>
        <x:v>P85</x:v>
      </x:c>
      <x:c r="P87" t="str">
        <x:f>IF(M87="No Exception","NA",IF(M87="Amount Mismatch","Fee/settlement difference",IF(M87="Duplicate Reference","Duplicate posting or retry",IF(M87="Missing in Bank","Settlement delay",IF(M87="Missing in Internal Ledger","Posting/integration issue","Status timing gap")))))</x:f>
        <x:v>NA</x:v>
      </x:c>
      <x:c r="Q87" t="str">
        <x:f>IF(M87="No Exception","No action",IF(O87="P83","Escalate today",IF(O87="P84","Investigate within 48 hrs","Monitor in next batch")))</x:f>
        <x:v>No action</x:v>
      </x:c>
    </x:row>
    <x:row r="88">
      <x:c r="A88" s="88" t="n">
        <x:v>46138</x:v>
      </x:c>
      <x:c r="B88" t="str">
        <x:v>TXN100084</x:v>
      </x:c>
      <x:c r="C88" t="str">
        <x:v>MetroPay</x:v>
      </x:c>
      <x:c r="D88" t="str">
        <x:v>Wallet</x:v>
      </x:c>
      <x:c r="E88" s="90" t="n">
        <x:v>9986</x:v>
      </x:c>
      <x:c r="F88" s="90" t="n">
        <x:v>9986</x:v>
      </x:c>
      <x:c r="G88" t="str">
        <x:v>Posted</x:v>
      </x:c>
      <x:c r="H88" t="str">
        <x:v>Settled</x:v>
      </x:c>
      <x:c r="I88" t="str">
        <x:v>Risk Ops</x:v>
      </x:c>
      <x:c r="J88" t="n">
        <x:v>1</x:v>
      </x:c>
      <x:c r="K88" s="90" t="n">
        <x:f>IF(OR(E88="",F88=""),"",F88-E88)</x:f>
        <x:v>0</x:v>
      </x:c>
      <x:c r="L88" t="str">
        <x:f>IF(M88="No Exception","Matched","Exception")</x:f>
        <x:v>Matched</x:v>
      </x:c>
      <x:c r="M88" t="str">
        <x:f>IF(COUNTIF($B$5:$B$124,B88)&gt;1,"Duplicate Reference",IF(E88="","Missing in Internal Ledger",IF(F88="","Missing in Bank",IF(ABS(K88)&gt;Rules!$C$5,"Amount Mismatch",IF(OR(G88="Pending",H88="Pending",H88="Missing"),"Status Mismatch","No Exception")))))</x:f>
        <x:v>No Exception</x:v>
      </x:c>
      <x:c r="N88" t="str">
        <x:f>IF(J88&gt;=Rules!$C$10,"Red &gt;7d",IF(J88&gt;=Rules!$C$9,"Amber 3-6d","Green 0-2d"))</x:f>
        <x:v>Green 0-2d</x:v>
      </x:c>
      <x:c r="O88" t="str">
        <x:f>IF(OR(N88="Red &gt;7d",M88="Missing in Bank",M88="Missing in Internal Ledger"),"P84",IF(OR(M88="Amount Mismatch",M88="Duplicate Reference"),"P85","P86"))</x:f>
        <x:v>P86</x:v>
      </x:c>
      <x:c r="P88" t="str">
        <x:f>IF(M88="No Exception","NA",IF(M88="Amount Mismatch","Fee/settlement difference",IF(M88="Duplicate Reference","Duplicate posting or retry",IF(M88="Missing in Bank","Settlement delay",IF(M88="Missing in Internal Ledger","Posting/integration issue","Status timing gap")))))</x:f>
        <x:v>NA</x:v>
      </x:c>
      <x:c r="Q88" t="str">
        <x:f>IF(M88="No Exception","No action",IF(O88="P84","Escalate today",IF(O88="P85","Investigate within 48 hrs","Monitor in next batch")))</x:f>
        <x:v>No action</x:v>
      </x:c>
    </x:row>
    <x:row r="89">
      <x:c r="A89" s="88" t="n">
        <x:v>46136</x:v>
      </x:c>
      <x:c r="B89" t="str">
        <x:v>TXN100085</x:v>
      </x:c>
      <x:c r="C89" t="str">
        <x:v>ShopKart</x:v>
      </x:c>
      <x:c r="D89" t="str">
        <x:v>NetBanking</x:v>
      </x:c>
      <x:c r="E89" s="90" t="n">
        <x:v>15576</x:v>
      </x:c>
      <x:c r="F89" s="90"/>
      <x:c r="G89" t="str">
        <x:v>Posted</x:v>
      </x:c>
      <x:c r="H89" t="str">
        <x:v>Missing</x:v>
      </x:c>
      <x:c r="I89" t="str">
        <x:v>Finance Ops</x:v>
      </x:c>
      <x:c r="J89" t="n">
        <x:v>11</x:v>
      </x:c>
      <x:c r="K89" s="90" t="str">
        <x:f>IF(OR(E89="",F89=""),"",F89-E89)</x:f>
      </x:c>
      <x:c r="L89" t="str">
        <x:f>IF(M89="No Exception","Matched","Exception")</x:f>
        <x:v>Exception</x:v>
      </x:c>
      <x:c r="M89" t="str">
        <x:f>IF(COUNTIF($B$5:$B$124,B89)&gt;1,"Duplicate Reference",IF(E89="","Missing in Internal Ledger",IF(F89="","Missing in Bank",IF(ABS(K89)&gt;Rules!$C$5,"Amount Mismatch",IF(OR(G89="Pending",H89="Pending",H89="Missing"),"Status Mismatch","No Exception")))))</x:f>
        <x:v>Missing in Bank</x:v>
      </x:c>
      <x:c r="N89" t="str">
        <x:f>IF(J89&gt;=Rules!$C$10,"Red &gt;7d",IF(J89&gt;=Rules!$C$9,"Amber 3-6d","Green 0-2d"))</x:f>
        <x:v>Red &gt;7d</x:v>
      </x:c>
      <x:c r="O89" t="str">
        <x:f>IF(OR(N89="Red &gt;7d",M89="Missing in Bank",M89="Missing in Internal Ledger"),"P85",IF(OR(M89="Amount Mismatch",M89="Duplicate Reference"),"P86","P87"))</x:f>
        <x:v>P85</x:v>
      </x:c>
      <x:c r="P89" t="str">
        <x:f>IF(M89="No Exception","NA",IF(M89="Amount Mismatch","Fee/settlement difference",IF(M89="Duplicate Reference","Duplicate posting or retry",IF(M89="Missing in Bank","Settlement delay",IF(M89="Missing in Internal Ledger","Posting/integration issue","Status timing gap")))))</x:f>
        <x:v>Settlement delay</x:v>
      </x:c>
      <x:c r="Q89" t="str">
        <x:f>IF(M89="No Exception","No action",IF(O89="P85","Escalate today",IF(O89="P86","Investigate within 48 hrs","Monitor in next batch")))</x:f>
        <x:v>Escalate today</x:v>
      </x:c>
    </x:row>
    <x:row r="90">
      <x:c r="A90" s="88" t="n">
        <x:v>46150</x:v>
      </x:c>
      <x:c r="B90" t="str">
        <x:v>TXN100086</x:v>
      </x:c>
      <x:c r="C90" t="str">
        <x:v>TravelGo</x:v>
      </x:c>
      <x:c r="D90" t="str">
        <x:v>UPI</x:v>
      </x:c>
      <x:c r="E90" s="90" t="n">
        <x:v>8472</x:v>
      </x:c>
      <x:c r="F90" s="90" t="n">
        <x:v>8472</x:v>
      </x:c>
      <x:c r="G90" t="str">
        <x:v>Posted</x:v>
      </x:c>
      <x:c r="H90" t="str">
        <x:v>Settled</x:v>
      </x:c>
      <x:c r="I90" t="str">
        <x:v>Merchant Ops</x:v>
      </x:c>
      <x:c r="J90" t="n">
        <x:v>6</x:v>
      </x:c>
      <x:c r="K90" s="90" t="n">
        <x:f>IF(OR(E90="",F90=""),"",F90-E90)</x:f>
        <x:v>0</x:v>
      </x:c>
      <x:c r="L90" t="str">
        <x:f>IF(M90="No Exception","Matched","Exception")</x:f>
        <x:v>Matched</x:v>
      </x:c>
      <x:c r="M90" t="str">
        <x:f>IF(COUNTIF($B$5:$B$124,B90)&gt;1,"Duplicate Reference",IF(E90="","Missing in Internal Ledger",IF(F90="","Missing in Bank",IF(ABS(K90)&gt;Rules!$C$5,"Amount Mismatch",IF(OR(G90="Pending",H90="Pending",H90="Missing"),"Status Mismatch","No Exception")))))</x:f>
        <x:v>No Exception</x:v>
      </x:c>
      <x:c r="N90" t="str">
        <x:f>IF(J90&gt;=Rules!$C$10,"Red &gt;7d",IF(J90&gt;=Rules!$C$9,"Amber 3-6d","Green 0-2d"))</x:f>
        <x:v>Amber 3-6d</x:v>
      </x:c>
      <x:c r="O90" t="str">
        <x:f>IF(OR(N90="Red &gt;7d",M90="Missing in Bank",M90="Missing in Internal Ledger"),"P86",IF(OR(M90="Amount Mismatch",M90="Duplicate Reference"),"P87","P88"))</x:f>
        <x:v>P88</x:v>
      </x:c>
      <x:c r="P90" t="str">
        <x:f>IF(M90="No Exception","NA",IF(M90="Amount Mismatch","Fee/settlement difference",IF(M90="Duplicate Reference","Duplicate posting or retry",IF(M90="Missing in Bank","Settlement delay",IF(M90="Missing in Internal Ledger","Posting/integration issue","Status timing gap")))))</x:f>
        <x:v>NA</x:v>
      </x:c>
      <x:c r="Q90" t="str">
        <x:f>IF(M90="No Exception","No action",IF(O90="P86","Escalate today",IF(O90="P87","Investigate within 48 hrs","Monitor in next batch")))</x:f>
        <x:v>No action</x:v>
      </x:c>
    </x:row>
    <x:row r="91">
      <x:c r="A91" s="88" t="n">
        <x:v>46134</x:v>
      </x:c>
      <x:c r="B91" t="str">
        <x:v>TXN100087</x:v>
      </x:c>
      <x:c r="C91" t="str">
        <x:v>Medix</x:v>
      </x:c>
      <x:c r="D91" t="str">
        <x:v>Wallet</x:v>
      </x:c>
      <x:c r="E91" s="90" t="n">
        <x:v>10667</x:v>
      </x:c>
      <x:c r="F91" s="90" t="n">
        <x:v>10667</x:v>
      </x:c>
      <x:c r="G91" t="str">
        <x:v>Posted</x:v>
      </x:c>
      <x:c r="H91" t="str">
        <x:v>Settled</x:v>
      </x:c>
      <x:c r="I91" t="str">
        <x:v>Risk Ops</x:v>
      </x:c>
      <x:c r="J91" t="n">
        <x:v>11</x:v>
      </x:c>
      <x:c r="K91" s="90" t="n">
        <x:f>IF(OR(E91="",F91=""),"",F91-E91)</x:f>
        <x:v>0</x:v>
      </x:c>
      <x:c r="L91" t="str">
        <x:f>IF(M91="No Exception","Matched","Exception")</x:f>
        <x:v>Matched</x:v>
      </x:c>
      <x:c r="M91" t="str">
        <x:f>IF(COUNTIF($B$5:$B$124,B91)&gt;1,"Duplicate Reference",IF(E91="","Missing in Internal Ledger",IF(F91="","Missing in Bank",IF(ABS(K91)&gt;Rules!$C$5,"Amount Mismatch",IF(OR(G91="Pending",H91="Pending",H91="Missing"),"Status Mismatch","No Exception")))))</x:f>
        <x:v>No Exception</x:v>
      </x:c>
      <x:c r="N91" t="str">
        <x:f>IF(J91&gt;=Rules!$C$10,"Red &gt;7d",IF(J91&gt;=Rules!$C$9,"Amber 3-6d","Green 0-2d"))</x:f>
        <x:v>Red &gt;7d</x:v>
      </x:c>
      <x:c r="O91" t="str">
        <x:f>IF(OR(N91="Red &gt;7d",M91="Missing in Bank",M91="Missing in Internal Ledger"),"P87",IF(OR(M91="Amount Mismatch",M91="Duplicate Reference"),"P88","P89"))</x:f>
        <x:v>P87</x:v>
      </x:c>
      <x:c r="P91" t="str">
        <x:f>IF(M91="No Exception","NA",IF(M91="Amount Mismatch","Fee/settlement difference",IF(M91="Duplicate Reference","Duplicate posting or retry",IF(M91="Missing in Bank","Settlement delay",IF(M91="Missing in Internal Ledger","Posting/integration issue","Status timing gap")))))</x:f>
        <x:v>NA</x:v>
      </x:c>
      <x:c r="Q91" t="str">
        <x:f>IF(M91="No Exception","No action",IF(O91="P87","Escalate today",IF(O91="P88","Investigate within 48 hrs","Monitor in next batch")))</x:f>
        <x:v>No action</x:v>
      </x:c>
    </x:row>
    <x:row r="92">
      <x:c r="A92" s="88" t="n">
        <x:v>46145</x:v>
      </x:c>
      <x:c r="B92" t="str">
        <x:v>TXN100088</x:v>
      </x:c>
      <x:c r="C92" t="str">
        <x:v>Medix</x:v>
      </x:c>
      <x:c r="D92" t="str">
        <x:v>Wallet</x:v>
      </x:c>
      <x:c r="E92" s="90" t="n">
        <x:v>3002</x:v>
      </x:c>
      <x:c r="F92" s="90" t="n">
        <x:v>2927</x:v>
      </x:c>
      <x:c r="G92" t="str">
        <x:v>Posted</x:v>
      </x:c>
      <x:c r="H92" t="str">
        <x:v>Settled</x:v>
      </x:c>
      <x:c r="I92" t="str">
        <x:v>Payments Ops</x:v>
      </x:c>
      <x:c r="J92" t="n">
        <x:v>8</x:v>
      </x:c>
      <x:c r="K92" s="90" t="n">
        <x:f>IF(OR(E92="",F92=""),"",F92-E92)</x:f>
        <x:v>-75</x:v>
      </x:c>
      <x:c r="L92" t="str">
        <x:f>IF(M92="No Exception","Matched","Exception")</x:f>
        <x:v>Exception</x:v>
      </x:c>
      <x:c r="M92" t="str">
        <x:f>IF(COUNTIF($B$5:$B$124,B92)&gt;1,"Duplicate Reference",IF(E92="","Missing in Internal Ledger",IF(F92="","Missing in Bank",IF(ABS(K92)&gt;Rules!$C$5,"Amount Mismatch",IF(OR(G92="Pending",H92="Pending",H92="Missing"),"Status Mismatch","No Exception")))))</x:f>
        <x:v>Amount Mismatch</x:v>
      </x:c>
      <x:c r="N92" t="str">
        <x:f>IF(J92&gt;=Rules!$C$10,"Red &gt;7d",IF(J92&gt;=Rules!$C$9,"Amber 3-6d","Green 0-2d"))</x:f>
        <x:v>Red &gt;7d</x:v>
      </x:c>
      <x:c r="O92" t="str">
        <x:f>IF(OR(N92="Red &gt;7d",M92="Missing in Bank",M92="Missing in Internal Ledger"),"P88",IF(OR(M92="Amount Mismatch",M92="Duplicate Reference"),"P89","P90"))</x:f>
        <x:v>P88</x:v>
      </x:c>
      <x:c r="P92" t="str">
        <x:f>IF(M92="No Exception","NA",IF(M92="Amount Mismatch","Fee/settlement difference",IF(M92="Duplicate Reference","Duplicate posting or retry",IF(M92="Missing in Bank","Settlement delay",IF(M92="Missing in Internal Ledger","Posting/integration issue","Status timing gap")))))</x:f>
        <x:v>Fee/settlement difference</x:v>
      </x:c>
      <x:c r="Q92" t="str">
        <x:f>IF(M92="No Exception","No action",IF(O92="P88","Escalate today",IF(O92="P89","Investigate within 48 hrs","Monitor in next batch")))</x:f>
        <x:v>Escalate today</x:v>
      </x:c>
    </x:row>
    <x:row r="93">
      <x:c r="A93" s="88" t="n">
        <x:v>46119</x:v>
      </x:c>
      <x:c r="B93" t="str">
        <x:v>TXN100021</x:v>
      </x:c>
      <x:c r="C93" t="str">
        <x:v>CloudFoods</x:v>
      </x:c>
      <x:c r="D93" t="str">
        <x:v>Wallet</x:v>
      </x:c>
      <x:c r="E93" s="90" t="n">
        <x:v>5339</x:v>
      </x:c>
      <x:c r="F93" s="90" t="n">
        <x:v>5339</x:v>
      </x:c>
      <x:c r="G93" t="str">
        <x:v>Posted</x:v>
      </x:c>
      <x:c r="H93" t="str">
        <x:v>Settled</x:v>
      </x:c>
      <x:c r="I93" t="str">
        <x:v>Risk Ops</x:v>
      </x:c>
      <x:c r="J93" t="n">
        <x:v>3</x:v>
      </x:c>
      <x:c r="K93" s="90" t="n">
        <x:f>IF(OR(E93="",F93=""),"",F93-E93)</x:f>
        <x:v>0</x:v>
      </x:c>
      <x:c r="L93" t="str">
        <x:f>IF(M93="No Exception","Matched","Exception")</x:f>
        <x:v>Exception</x:v>
      </x:c>
      <x:c r="M93" t="str">
        <x:f>IF(COUNTIF($B$5:$B$124,B93)&gt;1,"Duplicate Reference",IF(E93="","Missing in Internal Ledger",IF(F93="","Missing in Bank",IF(ABS(K93)&gt;Rules!$C$5,"Amount Mismatch",IF(OR(G93="Pending",H93="Pending",H93="Missing"),"Status Mismatch","No Exception")))))</x:f>
        <x:v>Duplicate Reference</x:v>
      </x:c>
      <x:c r="N93" t="str">
        <x:f>IF(J93&gt;=Rules!$C$10,"Red &gt;7d",IF(J93&gt;=Rules!$C$9,"Amber 3-6d","Green 0-2d"))</x:f>
        <x:v>Amber 3-6d</x:v>
      </x:c>
      <x:c r="O93" t="str">
        <x:f>IF(OR(N93="Red &gt;7d",M93="Missing in Bank",M93="Missing in Internal Ledger"),"P89",IF(OR(M93="Amount Mismatch",M93="Duplicate Reference"),"P90","P91"))</x:f>
        <x:v>P90</x:v>
      </x:c>
      <x:c r="P93" t="str">
        <x:f>IF(M93="No Exception","NA",IF(M93="Amount Mismatch","Fee/settlement difference",IF(M93="Duplicate Reference","Duplicate posting or retry",IF(M93="Missing in Bank","Settlement delay",IF(M93="Missing in Internal Ledger","Posting/integration issue","Status timing gap")))))</x:f>
        <x:v>Duplicate posting or retry</x:v>
      </x:c>
      <x:c r="Q93" t="str">
        <x:f>IF(M93="No Exception","No action",IF(O93="P89","Escalate today",IF(O93="P90","Investigate within 48 hrs","Monitor in next batch")))</x:f>
        <x:v>Investigate within 48 hrs</x:v>
      </x:c>
    </x:row>
    <x:row r="94">
      <x:c r="A94" s="88" t="n">
        <x:v>46122</x:v>
      </x:c>
      <x:c r="B94" t="str">
        <x:v>TXN100090</x:v>
      </x:c>
      <x:c r="C94" t="str">
        <x:v>ShopKart</x:v>
      </x:c>
      <x:c r="D94" t="str">
        <x:v>Cards</x:v>
      </x:c>
      <x:c r="E94" s="90" t="n">
        <x:v>6185</x:v>
      </x:c>
      <x:c r="F94" s="90" t="n">
        <x:v>6185</x:v>
      </x:c>
      <x:c r="G94" t="str">
        <x:v>Posted</x:v>
      </x:c>
      <x:c r="H94" t="str">
        <x:v>Settled</x:v>
      </x:c>
      <x:c r="I94" t="str">
        <x:v>Merchant Ops</x:v>
      </x:c>
      <x:c r="J94" t="n">
        <x:v>9</x:v>
      </x:c>
      <x:c r="K94" s="90" t="n">
        <x:f>IF(OR(E94="",F94=""),"",F94-E94)</x:f>
        <x:v>0</x:v>
      </x:c>
      <x:c r="L94" t="str">
        <x:f>IF(M94="No Exception","Matched","Exception")</x:f>
        <x:v>Matched</x:v>
      </x:c>
      <x:c r="M94" t="str">
        <x:f>IF(COUNTIF($B$5:$B$124,B94)&gt;1,"Duplicate Reference",IF(E94="","Missing in Internal Ledger",IF(F94="","Missing in Bank",IF(ABS(K94)&gt;Rules!$C$5,"Amount Mismatch",IF(OR(G94="Pending",H94="Pending",H94="Missing"),"Status Mismatch","No Exception")))))</x:f>
        <x:v>No Exception</x:v>
      </x:c>
      <x:c r="N94" t="str">
        <x:f>IF(J94&gt;=Rules!$C$10,"Red &gt;7d",IF(J94&gt;=Rules!$C$9,"Amber 3-6d","Green 0-2d"))</x:f>
        <x:v>Red &gt;7d</x:v>
      </x:c>
      <x:c r="O94" t="str">
        <x:f>IF(OR(N94="Red &gt;7d",M94="Missing in Bank",M94="Missing in Internal Ledger"),"P90",IF(OR(M94="Amount Mismatch",M94="Duplicate Reference"),"P91","P92"))</x:f>
        <x:v>P90</x:v>
      </x:c>
      <x:c r="P94" t="str">
        <x:f>IF(M94="No Exception","NA",IF(M94="Amount Mismatch","Fee/settlement difference",IF(M94="Duplicate Reference","Duplicate posting or retry",IF(M94="Missing in Bank","Settlement delay",IF(M94="Missing in Internal Ledger","Posting/integration issue","Status timing gap")))))</x:f>
        <x:v>NA</x:v>
      </x:c>
      <x:c r="Q94" t="str">
        <x:f>IF(M94="No Exception","No action",IF(O94="P90","Escalate today",IF(O94="P91","Investigate within 48 hrs","Monitor in next batch")))</x:f>
        <x:v>No action</x:v>
      </x:c>
    </x:row>
    <x:row r="95">
      <x:c r="A95" s="88" t="n">
        <x:v>46149</x:v>
      </x:c>
      <x:c r="B95" t="str">
        <x:v>TXN100091</x:v>
      </x:c>
      <x:c r="C95" t="str">
        <x:v>Fashio</x:v>
      </x:c>
      <x:c r="D95" t="str">
        <x:v>Wallet</x:v>
      </x:c>
      <x:c r="E95" s="90" t="n">
        <x:v>15702</x:v>
      </x:c>
      <x:c r="F95" s="90" t="n">
        <x:v>15702</x:v>
      </x:c>
      <x:c r="G95" t="str">
        <x:v>Pending</x:v>
      </x:c>
      <x:c r="H95" t="str">
        <x:v>Settled</x:v>
      </x:c>
      <x:c r="I95" t="str">
        <x:v>Payments Ops</x:v>
      </x:c>
      <x:c r="J95" t="n">
        <x:v>12</x:v>
      </x:c>
      <x:c r="K95" s="90" t="n">
        <x:f>IF(OR(E95="",F95=""),"",F95-E95)</x:f>
        <x:v>0</x:v>
      </x:c>
      <x:c r="L95" t="str">
        <x:f>IF(M95="No Exception","Matched","Exception")</x:f>
        <x:v>Exception</x:v>
      </x:c>
      <x:c r="M95" t="str">
        <x:f>IF(COUNTIF($B$5:$B$124,B95)&gt;1,"Duplicate Reference",IF(E95="","Missing in Internal Ledger",IF(F95="","Missing in Bank",IF(ABS(K95)&gt;Rules!$C$5,"Amount Mismatch",IF(OR(G95="Pending",H95="Pending",H95="Missing"),"Status Mismatch","No Exception")))))</x:f>
        <x:v>Status Mismatch</x:v>
      </x:c>
      <x:c r="N95" t="str">
        <x:f>IF(J95&gt;=Rules!$C$10,"Red &gt;7d",IF(J95&gt;=Rules!$C$9,"Amber 3-6d","Green 0-2d"))</x:f>
        <x:v>Red &gt;7d</x:v>
      </x:c>
      <x:c r="O95" t="str">
        <x:f>IF(OR(N95="Red &gt;7d",M95="Missing in Bank",M95="Missing in Internal Ledger"),"P91",IF(OR(M95="Amount Mismatch",M95="Duplicate Reference"),"P92","P93"))</x:f>
        <x:v>P91</x:v>
      </x:c>
      <x:c r="P95" t="str">
        <x:f>IF(M95="No Exception","NA",IF(M95="Amount Mismatch","Fee/settlement difference",IF(M95="Duplicate Reference","Duplicate posting or retry",IF(M95="Missing in Bank","Settlement delay",IF(M95="Missing in Internal Ledger","Posting/integration issue","Status timing gap")))))</x:f>
        <x:v>Status timing gap</x:v>
      </x:c>
      <x:c r="Q95" t="str">
        <x:f>IF(M95="No Exception","No action",IF(O95="P91","Escalate today",IF(O95="P92","Investigate within 48 hrs","Monitor in next batch")))</x:f>
        <x:v>Escalate today</x:v>
      </x:c>
    </x:row>
    <x:row r="96">
      <x:c r="A96" s="88" t="n">
        <x:v>46117</x:v>
      </x:c>
      <x:c r="B96" t="str">
        <x:v>TXN100092</x:v>
      </x:c>
      <x:c r="C96" t="str">
        <x:v>Fashio</x:v>
      </x:c>
      <x:c r="D96" t="str">
        <x:v>NetBanking</x:v>
      </x:c>
      <x:c r="E96" s="90" t="n">
        <x:v>5446</x:v>
      </x:c>
      <x:c r="F96" s="90" t="n">
        <x:v>5446</x:v>
      </x:c>
      <x:c r="G96" t="str">
        <x:v>Posted</x:v>
      </x:c>
      <x:c r="H96" t="str">
        <x:v>Settled</x:v>
      </x:c>
      <x:c r="I96" t="str">
        <x:v>Payments Ops</x:v>
      </x:c>
      <x:c r="J96" t="n">
        <x:v>7</x:v>
      </x:c>
      <x:c r="K96" s="90" t="n">
        <x:f>IF(OR(E96="",F96=""),"",F96-E96)</x:f>
        <x:v>0</x:v>
      </x:c>
      <x:c r="L96" t="str">
        <x:f>IF(M96="No Exception","Matched","Exception")</x:f>
        <x:v>Matched</x:v>
      </x:c>
      <x:c r="M96" t="str">
        <x:f>IF(COUNTIF($B$5:$B$124,B96)&gt;1,"Duplicate Reference",IF(E96="","Missing in Internal Ledger",IF(F96="","Missing in Bank",IF(ABS(K96)&gt;Rules!$C$5,"Amount Mismatch",IF(OR(G96="Pending",H96="Pending",H96="Missing"),"Status Mismatch","No Exception")))))</x:f>
        <x:v>No Exception</x:v>
      </x:c>
      <x:c r="N96" t="str">
        <x:f>IF(J96&gt;=Rules!$C$10,"Red &gt;7d",IF(J96&gt;=Rules!$C$9,"Amber 3-6d","Green 0-2d"))</x:f>
        <x:v>Red &gt;7d</x:v>
      </x:c>
      <x:c r="O96" t="str">
        <x:f>IF(OR(N96="Red &gt;7d",M96="Missing in Bank",M96="Missing in Internal Ledger"),"P92",IF(OR(M96="Amount Mismatch",M96="Duplicate Reference"),"P93","P94"))</x:f>
        <x:v>P92</x:v>
      </x:c>
      <x:c r="P96" t="str">
        <x:f>IF(M96="No Exception","NA",IF(M96="Amount Mismatch","Fee/settlement difference",IF(M96="Duplicate Reference","Duplicate posting or retry",IF(M96="Missing in Bank","Settlement delay",IF(M96="Missing in Internal Ledger","Posting/integration issue","Status timing gap")))))</x:f>
        <x:v>NA</x:v>
      </x:c>
      <x:c r="Q96" t="str">
        <x:f>IF(M96="No Exception","No action",IF(O96="P92","Escalate today",IF(O96="P93","Investigate within 48 hrs","Monitor in next batch")))</x:f>
        <x:v>No action</x:v>
      </x:c>
    </x:row>
    <x:row r="97">
      <x:c r="A97" s="88" t="n">
        <x:v>46116</x:v>
      </x:c>
      <x:c r="B97" t="str">
        <x:v>TXN100093</x:v>
      </x:c>
      <x:c r="C97" t="str">
        <x:v>EduNext</x:v>
      </x:c>
      <x:c r="D97" t="str">
        <x:v>UPI</x:v>
      </x:c>
      <x:c r="E97" s="90" t="n">
        <x:v>9500</x:v>
      </x:c>
      <x:c r="F97" s="90" t="n">
        <x:v>9500</x:v>
      </x:c>
      <x:c r="G97" t="str">
        <x:v>Posted</x:v>
      </x:c>
      <x:c r="H97" t="str">
        <x:v>Settled</x:v>
      </x:c>
      <x:c r="I97" t="str">
        <x:v>Payments Ops</x:v>
      </x:c>
      <x:c r="J97" t="n">
        <x:v>9</x:v>
      </x:c>
      <x:c r="K97" s="90" t="n">
        <x:f>IF(OR(E97="",F97=""),"",F97-E97)</x:f>
        <x:v>0</x:v>
      </x:c>
      <x:c r="L97" t="str">
        <x:f>IF(M97="No Exception","Matched","Exception")</x:f>
        <x:v>Matched</x:v>
      </x:c>
      <x:c r="M97" t="str">
        <x:f>IF(COUNTIF($B$5:$B$124,B97)&gt;1,"Duplicate Reference",IF(E97="","Missing in Internal Ledger",IF(F97="","Missing in Bank",IF(ABS(K97)&gt;Rules!$C$5,"Amount Mismatch",IF(OR(G97="Pending",H97="Pending",H97="Missing"),"Status Mismatch","No Exception")))))</x:f>
        <x:v>No Exception</x:v>
      </x:c>
      <x:c r="N97" t="str">
        <x:f>IF(J97&gt;=Rules!$C$10,"Red &gt;7d",IF(J97&gt;=Rules!$C$9,"Amber 3-6d","Green 0-2d"))</x:f>
        <x:v>Red &gt;7d</x:v>
      </x:c>
      <x:c r="O97" t="str">
        <x:f>IF(OR(N97="Red &gt;7d",M97="Missing in Bank",M97="Missing in Internal Ledger"),"P93",IF(OR(M97="Amount Mismatch",M97="Duplicate Reference"),"P94","P95"))</x:f>
        <x:v>P93</x:v>
      </x:c>
      <x:c r="P97" t="str">
        <x:f>IF(M97="No Exception","NA",IF(M97="Amount Mismatch","Fee/settlement difference",IF(M97="Duplicate Reference","Duplicate posting or retry",IF(M97="Missing in Bank","Settlement delay",IF(M97="Missing in Internal Ledger","Posting/integration issue","Status timing gap")))))</x:f>
        <x:v>NA</x:v>
      </x:c>
      <x:c r="Q97" t="str">
        <x:f>IF(M97="No Exception","No action",IF(O97="P93","Escalate today",IF(O97="P94","Investigate within 48 hrs","Monitor in next batch")))</x:f>
        <x:v>No action</x:v>
      </x:c>
    </x:row>
    <x:row r="98">
      <x:c r="A98" s="88" t="n">
        <x:v>46115</x:v>
      </x:c>
      <x:c r="B98" t="str">
        <x:v>TXN100094</x:v>
      </x:c>
      <x:c r="C98" t="str">
        <x:v>MetroPay</x:v>
      </x:c>
      <x:c r="D98" t="str">
        <x:v>Wallet</x:v>
      </x:c>
      <x:c r="E98" s="90" t="n">
        <x:v>15630</x:v>
      </x:c>
      <x:c r="F98" s="90" t="n">
        <x:v>15630</x:v>
      </x:c>
      <x:c r="G98" t="str">
        <x:v>Posted</x:v>
      </x:c>
      <x:c r="H98" t="str">
        <x:v>Settled</x:v>
      </x:c>
      <x:c r="I98" t="str">
        <x:v>Payments Ops</x:v>
      </x:c>
      <x:c r="J98" t="n">
        <x:v>7</x:v>
      </x:c>
      <x:c r="K98" s="90" t="n">
        <x:f>IF(OR(E98="",F98=""),"",F98-E98)</x:f>
        <x:v>0</x:v>
      </x:c>
      <x:c r="L98" t="str">
        <x:f>IF(M98="No Exception","Matched","Exception")</x:f>
        <x:v>Matched</x:v>
      </x:c>
      <x:c r="M98" t="str">
        <x:f>IF(COUNTIF($B$5:$B$124,B98)&gt;1,"Duplicate Reference",IF(E98="","Missing in Internal Ledger",IF(F98="","Missing in Bank",IF(ABS(K98)&gt;Rules!$C$5,"Amount Mismatch",IF(OR(G98="Pending",H98="Pending",H98="Missing"),"Status Mismatch","No Exception")))))</x:f>
        <x:v>No Exception</x:v>
      </x:c>
      <x:c r="N98" t="str">
        <x:f>IF(J98&gt;=Rules!$C$10,"Red &gt;7d",IF(J98&gt;=Rules!$C$9,"Amber 3-6d","Green 0-2d"))</x:f>
        <x:v>Red &gt;7d</x:v>
      </x:c>
      <x:c r="O98" t="str">
        <x:f>IF(OR(N98="Red &gt;7d",M98="Missing in Bank",M98="Missing in Internal Ledger"),"P94",IF(OR(M98="Amount Mismatch",M98="Duplicate Reference"),"P95","P96"))</x:f>
        <x:v>P94</x:v>
      </x:c>
      <x:c r="P98" t="str">
        <x:f>IF(M98="No Exception","NA",IF(M98="Amount Mismatch","Fee/settlement difference",IF(M98="Duplicate Reference","Duplicate posting or retry",IF(M98="Missing in Bank","Settlement delay",IF(M98="Missing in Internal Ledger","Posting/integration issue","Status timing gap")))))</x:f>
        <x:v>NA</x:v>
      </x:c>
      <x:c r="Q98" t="str">
        <x:f>IF(M98="No Exception","No action",IF(O98="P94","Escalate today",IF(O98="P95","Investigate within 48 hrs","Monitor in next batch")))</x:f>
        <x:v>No action</x:v>
      </x:c>
    </x:row>
    <x:row r="99">
      <x:c r="A99" s="88" t="n">
        <x:v>46118</x:v>
      </x:c>
      <x:c r="B99" t="str">
        <x:v>TXN100095</x:v>
      </x:c>
      <x:c r="C99" t="str">
        <x:v>TravelGo</x:v>
      </x:c>
      <x:c r="D99" t="str">
        <x:v>NetBanking</x:v>
      </x:c>
      <x:c r="E99" s="90"/>
      <x:c r="F99" s="90" t="n">
        <x:v>3014</x:v>
      </x:c>
      <x:c r="G99" t="str">
        <x:v>Missing</x:v>
      </x:c>
      <x:c r="H99" t="str">
        <x:v>Settled</x:v>
      </x:c>
      <x:c r="I99" t="str">
        <x:v>Finance Ops</x:v>
      </x:c>
      <x:c r="J99" t="n">
        <x:v>10</x:v>
      </x:c>
      <x:c r="K99" s="90" t="str">
        <x:f>IF(OR(E99="",F99=""),"",F99-E99)</x:f>
      </x:c>
      <x:c r="L99" t="str">
        <x:f>IF(M99="No Exception","Matched","Exception")</x:f>
        <x:v>Exception</x:v>
      </x:c>
      <x:c r="M99" t="str">
        <x:f>IF(COUNTIF($B$5:$B$124,B99)&gt;1,"Duplicate Reference",IF(E99="","Missing in Internal Ledger",IF(F99="","Missing in Bank",IF(ABS(K99)&gt;Rules!$C$5,"Amount Mismatch",IF(OR(G99="Pending",H99="Pending",H99="Missing"),"Status Mismatch","No Exception")))))</x:f>
        <x:v>Missing in Internal Ledger</x:v>
      </x:c>
      <x:c r="N99" t="str">
        <x:f>IF(J99&gt;=Rules!$C$10,"Red &gt;7d",IF(J99&gt;=Rules!$C$9,"Amber 3-6d","Green 0-2d"))</x:f>
        <x:v>Red &gt;7d</x:v>
      </x:c>
      <x:c r="O99" t="str">
        <x:f>IF(OR(N99="Red &gt;7d",M99="Missing in Bank",M99="Missing in Internal Ledger"),"P95",IF(OR(M99="Amount Mismatch",M99="Duplicate Reference"),"P96","P97"))</x:f>
        <x:v>P95</x:v>
      </x:c>
      <x:c r="P99" t="str">
        <x:f>IF(M99="No Exception","NA",IF(M99="Amount Mismatch","Fee/settlement difference",IF(M99="Duplicate Reference","Duplicate posting or retry",IF(M99="Missing in Bank","Settlement delay",IF(M99="Missing in Internal Ledger","Posting/integration issue","Status timing gap")))))</x:f>
        <x:v>Posting/integration issue</x:v>
      </x:c>
      <x:c r="Q99" t="str">
        <x:f>IF(M99="No Exception","No action",IF(O99="P95","Escalate today",IF(O99="P96","Investigate within 48 hrs","Monitor in next batch")))</x:f>
        <x:v>Escalate today</x:v>
      </x:c>
    </x:row>
    <x:row r="100">
      <x:c r="A100" s="88" t="n">
        <x:v>46149</x:v>
      </x:c>
      <x:c r="B100" t="str">
        <x:v>TXN100096</x:v>
      </x:c>
      <x:c r="C100" t="str">
        <x:v>Medix</x:v>
      </x:c>
      <x:c r="D100" t="str">
        <x:v>Wallet</x:v>
      </x:c>
      <x:c r="E100" s="90" t="n">
        <x:v>15236</x:v>
      </x:c>
      <x:c r="F100" s="90" t="n">
        <x:v>15236</x:v>
      </x:c>
      <x:c r="G100" t="str">
        <x:v>Posted</x:v>
      </x:c>
      <x:c r="H100" t="str">
        <x:v>Settled</x:v>
      </x:c>
      <x:c r="I100" t="str">
        <x:v>Merchant Ops</x:v>
      </x:c>
      <x:c r="J100" t="n">
        <x:v>12</x:v>
      </x:c>
      <x:c r="K100" s="90" t="n">
        <x:f>IF(OR(E100="",F100=""),"",F100-E100)</x:f>
        <x:v>0</x:v>
      </x:c>
      <x:c r="L100" t="str">
        <x:f>IF(M100="No Exception","Matched","Exception")</x:f>
        <x:v>Matched</x:v>
      </x:c>
      <x:c r="M100" t="str">
        <x:f>IF(COUNTIF($B$5:$B$124,B100)&gt;1,"Duplicate Reference",IF(E100="","Missing in Internal Ledger",IF(F100="","Missing in Bank",IF(ABS(K100)&gt;Rules!$C$5,"Amount Mismatch",IF(OR(G100="Pending",H100="Pending",H100="Missing"),"Status Mismatch","No Exception")))))</x:f>
        <x:v>No Exception</x:v>
      </x:c>
      <x:c r="N100" t="str">
        <x:f>IF(J100&gt;=Rules!$C$10,"Red &gt;7d",IF(J100&gt;=Rules!$C$9,"Amber 3-6d","Green 0-2d"))</x:f>
        <x:v>Red &gt;7d</x:v>
      </x:c>
      <x:c r="O100" t="str">
        <x:f>IF(OR(N100="Red &gt;7d",M100="Missing in Bank",M100="Missing in Internal Ledger"),"P96",IF(OR(M100="Amount Mismatch",M100="Duplicate Reference"),"P97","P98"))</x:f>
        <x:v>P96</x:v>
      </x:c>
      <x:c r="P100" t="str">
        <x:f>IF(M100="No Exception","NA",IF(M100="Amount Mismatch","Fee/settlement difference",IF(M100="Duplicate Reference","Duplicate posting or retry",IF(M100="Missing in Bank","Settlement delay",IF(M100="Missing in Internal Ledger","Posting/integration issue","Status timing gap")))))</x:f>
        <x:v>NA</x:v>
      </x:c>
      <x:c r="Q100" t="str">
        <x:f>IF(M100="No Exception","No action",IF(O100="P96","Escalate today",IF(O100="P97","Investigate within 48 hrs","Monitor in next batch")))</x:f>
        <x:v>No action</x:v>
      </x:c>
    </x:row>
    <x:row r="101">
      <x:c r="A101" s="88" t="n">
        <x:v>46116</x:v>
      </x:c>
      <x:c r="B101" t="str">
        <x:v>TXN100097</x:v>
      </x:c>
      <x:c r="C101" t="str">
        <x:v>Fashio</x:v>
      </x:c>
      <x:c r="D101" t="str">
        <x:v>UPI</x:v>
      </x:c>
      <x:c r="E101" s="90" t="n">
        <x:v>16928</x:v>
      </x:c>
      <x:c r="F101" s="90" t="n">
        <x:v>16928</x:v>
      </x:c>
      <x:c r="G101" t="str">
        <x:v>Posted</x:v>
      </x:c>
      <x:c r="H101" t="str">
        <x:v>Settled</x:v>
      </x:c>
      <x:c r="I101" t="str">
        <x:v>Payments Ops</x:v>
      </x:c>
      <x:c r="J101" t="n">
        <x:v>2</x:v>
      </x:c>
      <x:c r="K101" s="90" t="n">
        <x:f>IF(OR(E101="",F101=""),"",F101-E101)</x:f>
        <x:v>0</x:v>
      </x:c>
      <x:c r="L101" t="str">
        <x:f>IF(M101="No Exception","Matched","Exception")</x:f>
        <x:v>Matched</x:v>
      </x:c>
      <x:c r="M101" t="str">
        <x:f>IF(COUNTIF($B$5:$B$124,B101)&gt;1,"Duplicate Reference",IF(E101="","Missing in Internal Ledger",IF(F101="","Missing in Bank",IF(ABS(K101)&gt;Rules!$C$5,"Amount Mismatch",IF(OR(G101="Pending",H101="Pending",H101="Missing"),"Status Mismatch","No Exception")))))</x:f>
        <x:v>No Exception</x:v>
      </x:c>
      <x:c r="N101" t="str">
        <x:f>IF(J101&gt;=Rules!$C$10,"Red &gt;7d",IF(J101&gt;=Rules!$C$9,"Amber 3-6d","Green 0-2d"))</x:f>
        <x:v>Green 0-2d</x:v>
      </x:c>
      <x:c r="O101" t="str">
        <x:f>IF(OR(N101="Red &gt;7d",M101="Missing in Bank",M101="Missing in Internal Ledger"),"P97",IF(OR(M101="Amount Mismatch",M101="Duplicate Reference"),"P98","P99"))</x:f>
        <x:v>P99</x:v>
      </x:c>
      <x:c r="P101" t="str">
        <x:f>IF(M101="No Exception","NA",IF(M101="Amount Mismatch","Fee/settlement difference",IF(M101="Duplicate Reference","Duplicate posting or retry",IF(M101="Missing in Bank","Settlement delay",IF(M101="Missing in Internal Ledger","Posting/integration issue","Status timing gap")))))</x:f>
        <x:v>NA</x:v>
      </x:c>
      <x:c r="Q101" t="str">
        <x:f>IF(M101="No Exception","No action",IF(O101="P97","Escalate today",IF(O101="P98","Investigate within 48 hrs","Monitor in next batch")))</x:f>
        <x:v>No action</x:v>
      </x:c>
    </x:row>
    <x:row r="102">
      <x:c r="A102" s="88" t="n">
        <x:v>46154</x:v>
      </x:c>
      <x:c r="B102" t="str">
        <x:v>TXN100098</x:v>
      </x:c>
      <x:c r="C102" t="str">
        <x:v>CloudFoods</x:v>
      </x:c>
      <x:c r="D102" t="str">
        <x:v>UPI</x:v>
      </x:c>
      <x:c r="E102" s="90" t="n">
        <x:v>3263</x:v>
      </x:c>
      <x:c r="F102" s="90" t="n">
        <x:v>3263</x:v>
      </x:c>
      <x:c r="G102" t="str">
        <x:v>Posted</x:v>
      </x:c>
      <x:c r="H102" t="str">
        <x:v>Settled</x:v>
      </x:c>
      <x:c r="I102" t="str">
        <x:v>Risk Ops</x:v>
      </x:c>
      <x:c r="J102" t="n">
        <x:v>8</x:v>
      </x:c>
      <x:c r="K102" s="90" t="n">
        <x:f>IF(OR(E102="",F102=""),"",F102-E102)</x:f>
        <x:v>0</x:v>
      </x:c>
      <x:c r="L102" t="str">
        <x:f>IF(M102="No Exception","Matched","Exception")</x:f>
        <x:v>Matched</x:v>
      </x:c>
      <x:c r="M102" t="str">
        <x:f>IF(COUNTIF($B$5:$B$124,B102)&gt;1,"Duplicate Reference",IF(E102="","Missing in Internal Ledger",IF(F102="","Missing in Bank",IF(ABS(K102)&gt;Rules!$C$5,"Amount Mismatch",IF(OR(G102="Pending",H102="Pending",H102="Missing"),"Status Mismatch","No Exception")))))</x:f>
        <x:v>No Exception</x:v>
      </x:c>
      <x:c r="N102" t="str">
        <x:f>IF(J102&gt;=Rules!$C$10,"Red &gt;7d",IF(J102&gt;=Rules!$C$9,"Amber 3-6d","Green 0-2d"))</x:f>
        <x:v>Red &gt;7d</x:v>
      </x:c>
      <x:c r="O102" t="str">
        <x:f>IF(OR(N102="Red &gt;7d",M102="Missing in Bank",M102="Missing in Internal Ledger"),"P98",IF(OR(M102="Amount Mismatch",M102="Duplicate Reference"),"P99","P100"))</x:f>
        <x:v>P98</x:v>
      </x:c>
      <x:c r="P102" t="str">
        <x:f>IF(M102="No Exception","NA",IF(M102="Amount Mismatch","Fee/settlement difference",IF(M102="Duplicate Reference","Duplicate posting or retry",IF(M102="Missing in Bank","Settlement delay",IF(M102="Missing in Internal Ledger","Posting/integration issue","Status timing gap")))))</x:f>
        <x:v>NA</x:v>
      </x:c>
      <x:c r="Q102" t="str">
        <x:f>IF(M102="No Exception","No action",IF(O102="P98","Escalate today",IF(O102="P99","Investigate within 48 hrs","Monitor in next batch")))</x:f>
        <x:v>No action</x:v>
      </x:c>
    </x:row>
    <x:row r="103">
      <x:c r="A103" s="88" t="n">
        <x:v>46146</x:v>
      </x:c>
      <x:c r="B103" t="str">
        <x:v>TXN100099</x:v>
      </x:c>
      <x:c r="C103" t="str">
        <x:v>CloudFoods</x:v>
      </x:c>
      <x:c r="D103" t="str">
        <x:v>Wallet</x:v>
      </x:c>
      <x:c r="E103" s="90" t="n">
        <x:v>14844</x:v>
      </x:c>
      <x:c r="F103" s="90" t="n">
        <x:v>14964</x:v>
      </x:c>
      <x:c r="G103" t="str">
        <x:v>Posted</x:v>
      </x:c>
      <x:c r="H103" t="str">
        <x:v>Settled</x:v>
      </x:c>
      <x:c r="I103" t="str">
        <x:v>Payments Ops</x:v>
      </x:c>
      <x:c r="J103" t="n">
        <x:v>8</x:v>
      </x:c>
      <x:c r="K103" s="90" t="n">
        <x:f>IF(OR(E103="",F103=""),"",F103-E103)</x:f>
        <x:v>120</x:v>
      </x:c>
      <x:c r="L103" t="str">
        <x:f>IF(M103="No Exception","Matched","Exception")</x:f>
        <x:v>Exception</x:v>
      </x:c>
      <x:c r="M103" t="str">
        <x:f>IF(COUNTIF($B$5:$B$124,B103)&gt;1,"Duplicate Reference",IF(E103="","Missing in Internal Ledger",IF(F103="","Missing in Bank",IF(ABS(K103)&gt;Rules!$C$5,"Amount Mismatch",IF(OR(G103="Pending",H103="Pending",H103="Missing"),"Status Mismatch","No Exception")))))</x:f>
        <x:v>Amount Mismatch</x:v>
      </x:c>
      <x:c r="N103" t="str">
        <x:f>IF(J103&gt;=Rules!$C$10,"Red &gt;7d",IF(J103&gt;=Rules!$C$9,"Amber 3-6d","Green 0-2d"))</x:f>
        <x:v>Red &gt;7d</x:v>
      </x:c>
      <x:c r="O103" t="str">
        <x:f>IF(OR(N103="Red &gt;7d",M103="Missing in Bank",M103="Missing in Internal Ledger"),"P99",IF(OR(M103="Amount Mismatch",M103="Duplicate Reference"),"P100","P101"))</x:f>
        <x:v>P99</x:v>
      </x:c>
      <x:c r="P103" t="str">
        <x:f>IF(M103="No Exception","NA",IF(M103="Amount Mismatch","Fee/settlement difference",IF(M103="Duplicate Reference","Duplicate posting or retry",IF(M103="Missing in Bank","Settlement delay",IF(M103="Missing in Internal Ledger","Posting/integration issue","Status timing gap")))))</x:f>
        <x:v>Fee/settlement difference</x:v>
      </x:c>
      <x:c r="Q103" t="str">
        <x:f>IF(M103="No Exception","No action",IF(O103="P99","Escalate today",IF(O103="P100","Investigate within 48 hrs","Monitor in next batch")))</x:f>
        <x:v>Escalate today</x:v>
      </x:c>
    </x:row>
    <x:row r="104">
      <x:c r="A104" s="88" t="n">
        <x:v>46139</x:v>
      </x:c>
      <x:c r="B104" t="str">
        <x:v>TXN100100</x:v>
      </x:c>
      <x:c r="C104" t="str">
        <x:v>EduNext</x:v>
      </x:c>
      <x:c r="D104" t="str">
        <x:v>UPI</x:v>
      </x:c>
      <x:c r="E104" s="90" t="n">
        <x:v>9769</x:v>
      </x:c>
      <x:c r="F104" s="90" t="n">
        <x:v>9769</x:v>
      </x:c>
      <x:c r="G104" t="str">
        <x:v>Posted</x:v>
      </x:c>
      <x:c r="H104" t="str">
        <x:v>Settled</x:v>
      </x:c>
      <x:c r="I104" t="str">
        <x:v>Payments Ops</x:v>
      </x:c>
      <x:c r="J104" t="n">
        <x:v>6</x:v>
      </x:c>
      <x:c r="K104" s="90" t="n">
        <x:f>IF(OR(E104="",F104=""),"",F104-E104)</x:f>
        <x:v>0</x:v>
      </x:c>
      <x:c r="L104" t="str">
        <x:f>IF(M104="No Exception","Matched","Exception")</x:f>
        <x:v>Matched</x:v>
      </x:c>
      <x:c r="M104" t="str">
        <x:f>IF(COUNTIF($B$5:$B$124,B104)&gt;1,"Duplicate Reference",IF(E104="","Missing in Internal Ledger",IF(F104="","Missing in Bank",IF(ABS(K104)&gt;Rules!$C$5,"Amount Mismatch",IF(OR(G104="Pending",H104="Pending",H104="Missing"),"Status Mismatch","No Exception")))))</x:f>
        <x:v>No Exception</x:v>
      </x:c>
      <x:c r="N104" t="str">
        <x:f>IF(J104&gt;=Rules!$C$10,"Red &gt;7d",IF(J104&gt;=Rules!$C$9,"Amber 3-6d","Green 0-2d"))</x:f>
        <x:v>Amber 3-6d</x:v>
      </x:c>
      <x:c r="O104" t="str">
        <x:f>IF(OR(N104="Red &gt;7d",M104="Missing in Bank",M104="Missing in Internal Ledger"),"P100",IF(OR(M104="Amount Mismatch",M104="Duplicate Reference"),"P101","P102"))</x:f>
        <x:v>P102</x:v>
      </x:c>
      <x:c r="P104" t="str">
        <x:f>IF(M104="No Exception","NA",IF(M104="Amount Mismatch","Fee/settlement difference",IF(M104="Duplicate Reference","Duplicate posting or retry",IF(M104="Missing in Bank","Settlement delay",IF(M104="Missing in Internal Ledger","Posting/integration issue","Status timing gap")))))</x:f>
        <x:v>NA</x:v>
      </x:c>
      <x:c r="Q104" t="str">
        <x:f>IF(M104="No Exception","No action",IF(O104="P100","Escalate today",IF(O104="P101","Investigate within 48 hrs","Monitor in next batch")))</x:f>
        <x:v>No action</x:v>
      </x:c>
    </x:row>
    <x:row r="105">
      <x:c r="A105" s="88" t="n">
        <x:v>46119</x:v>
      </x:c>
      <x:c r="B105" t="str">
        <x:v>TXN100101</x:v>
      </x:c>
      <x:c r="C105" t="str">
        <x:v>TravelGo</x:v>
      </x:c>
      <x:c r="D105" t="str">
        <x:v>Wallet</x:v>
      </x:c>
      <x:c r="E105" s="90" t="n">
        <x:v>2659</x:v>
      </x:c>
      <x:c r="F105" s="90" t="n">
        <x:v>2659</x:v>
      </x:c>
      <x:c r="G105" t="str">
        <x:v>Posted</x:v>
      </x:c>
      <x:c r="H105" t="str">
        <x:v>Settled</x:v>
      </x:c>
      <x:c r="I105" t="str">
        <x:v>Payments Ops</x:v>
      </x:c>
      <x:c r="J105" t="n">
        <x:v>5</x:v>
      </x:c>
      <x:c r="K105" s="90" t="n">
        <x:f>IF(OR(E105="",F105=""),"",F105-E105)</x:f>
        <x:v>0</x:v>
      </x:c>
      <x:c r="L105" t="str">
        <x:f>IF(M105="No Exception","Matched","Exception")</x:f>
        <x:v>Matched</x:v>
      </x:c>
      <x:c r="M105" t="str">
        <x:f>IF(COUNTIF($B$5:$B$124,B105)&gt;1,"Duplicate Reference",IF(E105="","Missing in Internal Ledger",IF(F105="","Missing in Bank",IF(ABS(K105)&gt;Rules!$C$5,"Amount Mismatch",IF(OR(G105="Pending",H105="Pending",H105="Missing"),"Status Mismatch","No Exception")))))</x:f>
        <x:v>No Exception</x:v>
      </x:c>
      <x:c r="N105" t="str">
        <x:f>IF(J105&gt;=Rules!$C$10,"Red &gt;7d",IF(J105&gt;=Rules!$C$9,"Amber 3-6d","Green 0-2d"))</x:f>
        <x:v>Amber 3-6d</x:v>
      </x:c>
      <x:c r="O105" t="str">
        <x:f>IF(OR(N105="Red &gt;7d",M105="Missing in Bank",M105="Missing in Internal Ledger"),"P101",IF(OR(M105="Amount Mismatch",M105="Duplicate Reference"),"P102","P103"))</x:f>
        <x:v>P103</x:v>
      </x:c>
      <x:c r="P105" t="str">
        <x:f>IF(M105="No Exception","NA",IF(M105="Amount Mismatch","Fee/settlement difference",IF(M105="Duplicate Reference","Duplicate posting or retry",IF(M105="Missing in Bank","Settlement delay",IF(M105="Missing in Internal Ledger","Posting/integration issue","Status timing gap")))))</x:f>
        <x:v>NA</x:v>
      </x:c>
      <x:c r="Q105" t="str">
        <x:f>IF(M105="No Exception","No action",IF(O105="P101","Escalate today",IF(O105="P102","Investigate within 48 hrs","Monitor in next batch")))</x:f>
        <x:v>No action</x:v>
      </x:c>
    </x:row>
    <x:row r="106">
      <x:c r="A106" s="88" t="n">
        <x:v>46118</x:v>
      </x:c>
      <x:c r="B106" t="str">
        <x:v>TXN100102</x:v>
      </x:c>
      <x:c r="C106" t="str">
        <x:v>CloudFoods</x:v>
      </x:c>
      <x:c r="D106" t="str">
        <x:v>Wallet</x:v>
      </x:c>
      <x:c r="E106" s="90" t="n">
        <x:v>5427</x:v>
      </x:c>
      <x:c r="F106" s="90"/>
      <x:c r="G106" t="str">
        <x:v>Posted</x:v>
      </x:c>
      <x:c r="H106" t="str">
        <x:v>Missing</x:v>
      </x:c>
      <x:c r="I106" t="str">
        <x:v>Payments Ops</x:v>
      </x:c>
      <x:c r="J106" t="n">
        <x:v>5</x:v>
      </x:c>
      <x:c r="K106" s="90" t="str">
        <x:f>IF(OR(E106="",F106=""),"",F106-E106)</x:f>
      </x:c>
      <x:c r="L106" t="str">
        <x:f>IF(M106="No Exception","Matched","Exception")</x:f>
        <x:v>Exception</x:v>
      </x:c>
      <x:c r="M106" t="str">
        <x:f>IF(COUNTIF($B$5:$B$124,B106)&gt;1,"Duplicate Reference",IF(E106="","Missing in Internal Ledger",IF(F106="","Missing in Bank",IF(ABS(K106)&gt;Rules!$C$5,"Amount Mismatch",IF(OR(G106="Pending",H106="Pending",H106="Missing"),"Status Mismatch","No Exception")))))</x:f>
        <x:v>Missing in Bank</x:v>
      </x:c>
      <x:c r="N106" t="str">
        <x:f>IF(J106&gt;=Rules!$C$10,"Red &gt;7d",IF(J106&gt;=Rules!$C$9,"Amber 3-6d","Green 0-2d"))</x:f>
        <x:v>Amber 3-6d</x:v>
      </x:c>
      <x:c r="O106" t="str">
        <x:f>IF(OR(N106="Red &gt;7d",M106="Missing in Bank",M106="Missing in Internal Ledger"),"P102",IF(OR(M106="Amount Mismatch",M106="Duplicate Reference"),"P103","P104"))</x:f>
        <x:v>P102</x:v>
      </x:c>
      <x:c r="P106" t="str">
        <x:f>IF(M106="No Exception","NA",IF(M106="Amount Mismatch","Fee/settlement difference",IF(M106="Duplicate Reference","Duplicate posting or retry",IF(M106="Missing in Bank","Settlement delay",IF(M106="Missing in Internal Ledger","Posting/integration issue","Status timing gap")))))</x:f>
        <x:v>Settlement delay</x:v>
      </x:c>
      <x:c r="Q106" t="str">
        <x:f>IF(M106="No Exception","No action",IF(O106="P102","Escalate today",IF(O106="P103","Investigate within 48 hrs","Monitor in next batch")))</x:f>
        <x:v>Escalate today</x:v>
      </x:c>
    </x:row>
    <x:row r="107">
      <x:c r="A107" s="88" t="n">
        <x:v>46151</x:v>
      </x:c>
      <x:c r="B107" t="str">
        <x:v>TXN100103</x:v>
      </x:c>
      <x:c r="C107" t="str">
        <x:v>ShopKart</x:v>
      </x:c>
      <x:c r="D107" t="str">
        <x:v>Wallet</x:v>
      </x:c>
      <x:c r="E107" s="90" t="n">
        <x:v>13343</x:v>
      </x:c>
      <x:c r="F107" s="90" t="n">
        <x:v>13343</x:v>
      </x:c>
      <x:c r="G107" t="str">
        <x:v>Posted</x:v>
      </x:c>
      <x:c r="H107" t="str">
        <x:v>Settled</x:v>
      </x:c>
      <x:c r="I107" t="str">
        <x:v>Merchant Ops</x:v>
      </x:c>
      <x:c r="J107" t="n">
        <x:v>2</x:v>
      </x:c>
      <x:c r="K107" s="90" t="n">
        <x:f>IF(OR(E107="",F107=""),"",F107-E107)</x:f>
        <x:v>0</x:v>
      </x:c>
      <x:c r="L107" t="str">
        <x:f>IF(M107="No Exception","Matched","Exception")</x:f>
        <x:v>Matched</x:v>
      </x:c>
      <x:c r="M107" t="str">
        <x:f>IF(COUNTIF($B$5:$B$124,B107)&gt;1,"Duplicate Reference",IF(E107="","Missing in Internal Ledger",IF(F107="","Missing in Bank",IF(ABS(K107)&gt;Rules!$C$5,"Amount Mismatch",IF(OR(G107="Pending",H107="Pending",H107="Missing"),"Status Mismatch","No Exception")))))</x:f>
        <x:v>No Exception</x:v>
      </x:c>
      <x:c r="N107" t="str">
        <x:f>IF(J107&gt;=Rules!$C$10,"Red &gt;7d",IF(J107&gt;=Rules!$C$9,"Amber 3-6d","Green 0-2d"))</x:f>
        <x:v>Green 0-2d</x:v>
      </x:c>
      <x:c r="O107" t="str">
        <x:f>IF(OR(N107="Red &gt;7d",M107="Missing in Bank",M107="Missing in Internal Ledger"),"P103",IF(OR(M107="Amount Mismatch",M107="Duplicate Reference"),"P104","P105"))</x:f>
        <x:v>P105</x:v>
      </x:c>
      <x:c r="P107" t="str">
        <x:f>IF(M107="No Exception","NA",IF(M107="Amount Mismatch","Fee/settlement difference",IF(M107="Duplicate Reference","Duplicate posting or retry",IF(M107="Missing in Bank","Settlement delay",IF(M107="Missing in Internal Ledger","Posting/integration issue","Status timing gap")))))</x:f>
        <x:v>NA</x:v>
      </x:c>
      <x:c r="Q107" t="str">
        <x:f>IF(M107="No Exception","No action",IF(O107="P103","Escalate today",IF(O107="P104","Investigate within 48 hrs","Monitor in next batch")))</x:f>
        <x:v>No action</x:v>
      </x:c>
    </x:row>
    <x:row r="108">
      <x:c r="A108" s="88" t="n">
        <x:v>46155</x:v>
      </x:c>
      <x:c r="B108" t="str">
        <x:v>TXN100104</x:v>
      </x:c>
      <x:c r="C108" t="str">
        <x:v>ShopKart</x:v>
      </x:c>
      <x:c r="D108" t="str">
        <x:v>NetBanking</x:v>
      </x:c>
      <x:c r="E108" s="90" t="n">
        <x:v>11263</x:v>
      </x:c>
      <x:c r="F108" s="90" t="n">
        <x:v>11263</x:v>
      </x:c>
      <x:c r="G108" t="str">
        <x:v>Pending</x:v>
      </x:c>
      <x:c r="H108" t="str">
        <x:v>Settled</x:v>
      </x:c>
      <x:c r="I108" t="str">
        <x:v>Payments Ops</x:v>
      </x:c>
      <x:c r="J108" t="n">
        <x:v>2</x:v>
      </x:c>
      <x:c r="K108" s="90" t="n">
        <x:f>IF(OR(E108="",F108=""),"",F108-E108)</x:f>
        <x:v>0</x:v>
      </x:c>
      <x:c r="L108" t="str">
        <x:f>IF(M108="No Exception","Matched","Exception")</x:f>
        <x:v>Exception</x:v>
      </x:c>
      <x:c r="M108" t="str">
        <x:f>IF(COUNTIF($B$5:$B$124,B108)&gt;1,"Duplicate Reference",IF(E108="","Missing in Internal Ledger",IF(F108="","Missing in Bank",IF(ABS(K108)&gt;Rules!$C$5,"Amount Mismatch",IF(OR(G108="Pending",H108="Pending",H108="Missing"),"Status Mismatch","No Exception")))))</x:f>
        <x:v>Status Mismatch</x:v>
      </x:c>
      <x:c r="N108" t="str">
        <x:f>IF(J108&gt;=Rules!$C$10,"Red &gt;7d",IF(J108&gt;=Rules!$C$9,"Amber 3-6d","Green 0-2d"))</x:f>
        <x:v>Green 0-2d</x:v>
      </x:c>
      <x:c r="O108" t="str">
        <x:f>IF(OR(N108="Red &gt;7d",M108="Missing in Bank",M108="Missing in Internal Ledger"),"P104",IF(OR(M108="Amount Mismatch",M108="Duplicate Reference"),"P105","P106"))</x:f>
        <x:v>P106</x:v>
      </x:c>
      <x:c r="P108" t="str">
        <x:f>IF(M108="No Exception","NA",IF(M108="Amount Mismatch","Fee/settlement difference",IF(M108="Duplicate Reference","Duplicate posting or retry",IF(M108="Missing in Bank","Settlement delay",IF(M108="Missing in Internal Ledger","Posting/integration issue","Status timing gap")))))</x:f>
        <x:v>Status timing gap</x:v>
      </x:c>
      <x:c r="Q108" t="str">
        <x:f>IF(M108="No Exception","No action",IF(O108="P104","Escalate today",IF(O108="P105","Investigate within 48 hrs","Monitor in next batch")))</x:f>
        <x:v>Monitor in next batch</x:v>
      </x:c>
    </x:row>
    <x:row r="109">
      <x:c r="A109" s="88" t="n">
        <x:v>46132</x:v>
      </x:c>
      <x:c r="B109" t="str">
        <x:v>TXN100105</x:v>
      </x:c>
      <x:c r="C109" t="str">
        <x:v>CloudFoods</x:v>
      </x:c>
      <x:c r="D109" t="str">
        <x:v>Cards</x:v>
      </x:c>
      <x:c r="E109" s="90" t="n">
        <x:v>1097</x:v>
      </x:c>
      <x:c r="F109" s="90" t="n">
        <x:v>1097</x:v>
      </x:c>
      <x:c r="G109" t="str">
        <x:v>Posted</x:v>
      </x:c>
      <x:c r="H109" t="str">
        <x:v>Settled</x:v>
      </x:c>
      <x:c r="I109" t="str">
        <x:v>Payments Ops</x:v>
      </x:c>
      <x:c r="J109" t="n">
        <x:v>5</x:v>
      </x:c>
      <x:c r="K109" s="90" t="n">
        <x:f>IF(OR(E109="",F109=""),"",F109-E109)</x:f>
        <x:v>0</x:v>
      </x:c>
      <x:c r="L109" t="str">
        <x:f>IF(M109="No Exception","Matched","Exception")</x:f>
        <x:v>Matched</x:v>
      </x:c>
      <x:c r="M109" t="str">
        <x:f>IF(COUNTIF($B$5:$B$124,B109)&gt;1,"Duplicate Reference",IF(E109="","Missing in Internal Ledger",IF(F109="","Missing in Bank",IF(ABS(K109)&gt;Rules!$C$5,"Amount Mismatch",IF(OR(G109="Pending",H109="Pending",H109="Missing"),"Status Mismatch","No Exception")))))</x:f>
        <x:v>No Exception</x:v>
      </x:c>
      <x:c r="N109" t="str">
        <x:f>IF(J109&gt;=Rules!$C$10,"Red &gt;7d",IF(J109&gt;=Rules!$C$9,"Amber 3-6d","Green 0-2d"))</x:f>
        <x:v>Amber 3-6d</x:v>
      </x:c>
      <x:c r="O109" t="str">
        <x:f>IF(OR(N109="Red &gt;7d",M109="Missing in Bank",M109="Missing in Internal Ledger"),"P105",IF(OR(M109="Amount Mismatch",M109="Duplicate Reference"),"P106","P107"))</x:f>
        <x:v>P107</x:v>
      </x:c>
      <x:c r="P109" t="str">
        <x:f>IF(M109="No Exception","NA",IF(M109="Amount Mismatch","Fee/settlement difference",IF(M109="Duplicate Reference","Duplicate posting or retry",IF(M109="Missing in Bank","Settlement delay",IF(M109="Missing in Internal Ledger","Posting/integration issue","Status timing gap")))))</x:f>
        <x:v>NA</x:v>
      </x:c>
      <x:c r="Q109" t="str">
        <x:f>IF(M109="No Exception","No action",IF(O109="P105","Escalate today",IF(O109="P106","Investigate within 48 hrs","Monitor in next batch")))</x:f>
        <x:v>No action</x:v>
      </x:c>
    </x:row>
    <x:row r="110">
      <x:c r="A110" s="88" t="n">
        <x:v>46127</x:v>
      </x:c>
      <x:c r="B110" t="str">
        <x:v>TXN100106</x:v>
      </x:c>
      <x:c r="C110" t="str">
        <x:v>CloudFoods</x:v>
      </x:c>
      <x:c r="D110" t="str">
        <x:v>Cards</x:v>
      </x:c>
      <x:c r="E110" s="90" t="n">
        <x:v>16434</x:v>
      </x:c>
      <x:c r="F110" s="90" t="n">
        <x:v>16434</x:v>
      </x:c>
      <x:c r="G110" t="str">
        <x:v>Posted</x:v>
      </x:c>
      <x:c r="H110" t="str">
        <x:v>Settled</x:v>
      </x:c>
      <x:c r="I110" t="str">
        <x:v>Finance Ops</x:v>
      </x:c>
      <x:c r="J110" t="n">
        <x:v>3</x:v>
      </x:c>
      <x:c r="K110" s="90" t="n">
        <x:f>IF(OR(E110="",F110=""),"",F110-E110)</x:f>
        <x:v>0</x:v>
      </x:c>
      <x:c r="L110" t="str">
        <x:f>IF(M110="No Exception","Matched","Exception")</x:f>
        <x:v>Matched</x:v>
      </x:c>
      <x:c r="M110" t="str">
        <x:f>IF(COUNTIF($B$5:$B$124,B110)&gt;1,"Duplicate Reference",IF(E110="","Missing in Internal Ledger",IF(F110="","Missing in Bank",IF(ABS(K110)&gt;Rules!$C$5,"Amount Mismatch",IF(OR(G110="Pending",H110="Pending",H110="Missing"),"Status Mismatch","No Exception")))))</x:f>
        <x:v>No Exception</x:v>
      </x:c>
      <x:c r="N110" t="str">
        <x:f>IF(J110&gt;=Rules!$C$10,"Red &gt;7d",IF(J110&gt;=Rules!$C$9,"Amber 3-6d","Green 0-2d"))</x:f>
        <x:v>Amber 3-6d</x:v>
      </x:c>
      <x:c r="O110" t="str">
        <x:f>IF(OR(N110="Red &gt;7d",M110="Missing in Bank",M110="Missing in Internal Ledger"),"P106",IF(OR(M110="Amount Mismatch",M110="Duplicate Reference"),"P107","P108"))</x:f>
        <x:v>P108</x:v>
      </x:c>
      <x:c r="P110" t="str">
        <x:f>IF(M110="No Exception","NA",IF(M110="Amount Mismatch","Fee/settlement difference",IF(M110="Duplicate Reference","Duplicate posting or retry",IF(M110="Missing in Bank","Settlement delay",IF(M110="Missing in Internal Ledger","Posting/integration issue","Status timing gap")))))</x:f>
        <x:v>NA</x:v>
      </x:c>
      <x:c r="Q110" t="str">
        <x:f>IF(M110="No Exception","No action",IF(O110="P106","Escalate today",IF(O110="P107","Investigate within 48 hrs","Monitor in next batch")))</x:f>
        <x:v>No action</x:v>
      </x:c>
    </x:row>
    <x:row r="111">
      <x:c r="A111" s="88" t="n">
        <x:v>46119</x:v>
      </x:c>
      <x:c r="B111" t="str">
        <x:v>TXN100107</x:v>
      </x:c>
      <x:c r="C111" t="str">
        <x:v>MetroPay</x:v>
      </x:c>
      <x:c r="D111" t="str">
        <x:v>Wallet</x:v>
      </x:c>
      <x:c r="E111" s="90" t="n">
        <x:v>10192</x:v>
      </x:c>
      <x:c r="F111" s="90" t="n">
        <x:v>10192</x:v>
      </x:c>
      <x:c r="G111" t="str">
        <x:v>Posted</x:v>
      </x:c>
      <x:c r="H111" t="str">
        <x:v>Settled</x:v>
      </x:c>
      <x:c r="I111" t="str">
        <x:v>Risk Ops</x:v>
      </x:c>
      <x:c r="J111" t="n">
        <x:v>12</x:v>
      </x:c>
      <x:c r="K111" s="90" t="n">
        <x:f>IF(OR(E111="",F111=""),"",F111-E111)</x:f>
        <x:v>0</x:v>
      </x:c>
      <x:c r="L111" t="str">
        <x:f>IF(M111="No Exception","Matched","Exception")</x:f>
        <x:v>Matched</x:v>
      </x:c>
      <x:c r="M111" t="str">
        <x:f>IF(COUNTIF($B$5:$B$124,B111)&gt;1,"Duplicate Reference",IF(E111="","Missing in Internal Ledger",IF(F111="","Missing in Bank",IF(ABS(K111)&gt;Rules!$C$5,"Amount Mismatch",IF(OR(G111="Pending",H111="Pending",H111="Missing"),"Status Mismatch","No Exception")))))</x:f>
        <x:v>No Exception</x:v>
      </x:c>
      <x:c r="N111" t="str">
        <x:f>IF(J111&gt;=Rules!$C$10,"Red &gt;7d",IF(J111&gt;=Rules!$C$9,"Amber 3-6d","Green 0-2d"))</x:f>
        <x:v>Red &gt;7d</x:v>
      </x:c>
      <x:c r="O111" t="str">
        <x:f>IF(OR(N111="Red &gt;7d",M111="Missing in Bank",M111="Missing in Internal Ledger"),"P107",IF(OR(M111="Amount Mismatch",M111="Duplicate Reference"),"P108","P109"))</x:f>
        <x:v>P107</x:v>
      </x:c>
      <x:c r="P111" t="str">
        <x:f>IF(M111="No Exception","NA",IF(M111="Amount Mismatch","Fee/settlement difference",IF(M111="Duplicate Reference","Duplicate posting or retry",IF(M111="Missing in Bank","Settlement delay",IF(M111="Missing in Internal Ledger","Posting/integration issue","Status timing gap")))))</x:f>
        <x:v>NA</x:v>
      </x:c>
      <x:c r="Q111" t="str">
        <x:f>IF(M111="No Exception","No action",IF(O111="P107","Escalate today",IF(O111="P108","Investigate within 48 hrs","Monitor in next batch")))</x:f>
        <x:v>No action</x:v>
      </x:c>
    </x:row>
    <x:row r="112">
      <x:c r="A112" s="88" t="n">
        <x:v>46123</x:v>
      </x:c>
      <x:c r="B112" t="str">
        <x:v>TXN100108</x:v>
      </x:c>
      <x:c r="C112" t="str">
        <x:v>CloudFoods</x:v>
      </x:c>
      <x:c r="D112" t="str">
        <x:v>Cards</x:v>
      </x:c>
      <x:c r="E112" s="90" t="n">
        <x:v>12844</x:v>
      </x:c>
      <x:c r="F112" s="90" t="n">
        <x:v>12844</x:v>
      </x:c>
      <x:c r="G112" t="str">
        <x:v>Posted</x:v>
      </x:c>
      <x:c r="H112" t="str">
        <x:v>Settled</x:v>
      </x:c>
      <x:c r="I112" t="str">
        <x:v>Merchant Ops</x:v>
      </x:c>
      <x:c r="J112" t="n">
        <x:v>2</x:v>
      </x:c>
      <x:c r="K112" s="90" t="n">
        <x:f>IF(OR(E112="",F112=""),"",F112-E112)</x:f>
        <x:v>0</x:v>
      </x:c>
      <x:c r="L112" t="str">
        <x:f>IF(M112="No Exception","Matched","Exception")</x:f>
        <x:v>Matched</x:v>
      </x:c>
      <x:c r="M112" t="str">
        <x:f>IF(COUNTIF($B$5:$B$124,B112)&gt;1,"Duplicate Reference",IF(E112="","Missing in Internal Ledger",IF(F112="","Missing in Bank",IF(ABS(K112)&gt;Rules!$C$5,"Amount Mismatch",IF(OR(G112="Pending",H112="Pending",H112="Missing"),"Status Mismatch","No Exception")))))</x:f>
        <x:v>No Exception</x:v>
      </x:c>
      <x:c r="N112" t="str">
        <x:f>IF(J112&gt;=Rules!$C$10,"Red &gt;7d",IF(J112&gt;=Rules!$C$9,"Amber 3-6d","Green 0-2d"))</x:f>
        <x:v>Green 0-2d</x:v>
      </x:c>
      <x:c r="O112" t="str">
        <x:f>IF(OR(N112="Red &gt;7d",M112="Missing in Bank",M112="Missing in Internal Ledger"),"P108",IF(OR(M112="Amount Mismatch",M112="Duplicate Reference"),"P109","P110"))</x:f>
        <x:v>P110</x:v>
      </x:c>
      <x:c r="P112" t="str">
        <x:f>IF(M112="No Exception","NA",IF(M112="Amount Mismatch","Fee/settlement difference",IF(M112="Duplicate Reference","Duplicate posting or retry",IF(M112="Missing in Bank","Settlement delay",IF(M112="Missing in Internal Ledger","Posting/integration issue","Status timing gap")))))</x:f>
        <x:v>NA</x:v>
      </x:c>
      <x:c r="Q112" t="str">
        <x:f>IF(M112="No Exception","No action",IF(O112="P108","Escalate today",IF(O112="P109","Investigate within 48 hrs","Monitor in next batch")))</x:f>
        <x:v>No action</x:v>
      </x:c>
    </x:row>
    <x:row r="113">
      <x:c r="A113" s="88" t="n">
        <x:v>46136</x:v>
      </x:c>
      <x:c r="B113" t="str">
        <x:v>TXN100109</x:v>
      </x:c>
      <x:c r="C113" t="str">
        <x:v>Medix</x:v>
      </x:c>
      <x:c r="D113" t="str">
        <x:v>NetBanking</x:v>
      </x:c>
      <x:c r="E113" s="90" t="n">
        <x:v>1931</x:v>
      </x:c>
      <x:c r="F113" s="90" t="n">
        <x:v>1931</x:v>
      </x:c>
      <x:c r="G113" t="str">
        <x:v>Posted</x:v>
      </x:c>
      <x:c r="H113" t="str">
        <x:v>Settled</x:v>
      </x:c>
      <x:c r="I113" t="str">
        <x:v>Payments Ops</x:v>
      </x:c>
      <x:c r="J113" t="n">
        <x:v>6</x:v>
      </x:c>
      <x:c r="K113" s="90" t="n">
        <x:f>IF(OR(E113="",F113=""),"",F113-E113)</x:f>
        <x:v>0</x:v>
      </x:c>
      <x:c r="L113" t="str">
        <x:f>IF(M113="No Exception","Matched","Exception")</x:f>
        <x:v>Matched</x:v>
      </x:c>
      <x:c r="M113" t="str">
        <x:f>IF(COUNTIF($B$5:$B$124,B113)&gt;1,"Duplicate Reference",IF(E113="","Missing in Internal Ledger",IF(F113="","Missing in Bank",IF(ABS(K113)&gt;Rules!$C$5,"Amount Mismatch",IF(OR(G113="Pending",H113="Pending",H113="Missing"),"Status Mismatch","No Exception")))))</x:f>
        <x:v>No Exception</x:v>
      </x:c>
      <x:c r="N113" t="str">
        <x:f>IF(J113&gt;=Rules!$C$10,"Red &gt;7d",IF(J113&gt;=Rules!$C$9,"Amber 3-6d","Green 0-2d"))</x:f>
        <x:v>Amber 3-6d</x:v>
      </x:c>
      <x:c r="O113" t="str">
        <x:f>IF(OR(N113="Red &gt;7d",M113="Missing in Bank",M113="Missing in Internal Ledger"),"P109",IF(OR(M113="Amount Mismatch",M113="Duplicate Reference"),"P110","P111"))</x:f>
        <x:v>P111</x:v>
      </x:c>
      <x:c r="P113" t="str">
        <x:f>IF(M113="No Exception","NA",IF(M113="Amount Mismatch","Fee/settlement difference",IF(M113="Duplicate Reference","Duplicate posting or retry",IF(M113="Missing in Bank","Settlement delay",IF(M113="Missing in Internal Ledger","Posting/integration issue","Status timing gap")))))</x:f>
        <x:v>NA</x:v>
      </x:c>
      <x:c r="Q113" t="str">
        <x:f>IF(M113="No Exception","No action",IF(O113="P109","Escalate today",IF(O113="P110","Investigate within 48 hrs","Monitor in next batch")))</x:f>
        <x:v>No action</x:v>
      </x:c>
    </x:row>
    <x:row r="114">
      <x:c r="A114" s="88" t="n">
        <x:v>46128</x:v>
      </x:c>
      <x:c r="B114" t="str">
        <x:v>TXN100110</x:v>
      </x:c>
      <x:c r="C114" t="str">
        <x:v>QuickRide</x:v>
      </x:c>
      <x:c r="D114" t="str">
        <x:v>NetBanking</x:v>
      </x:c>
      <x:c r="E114" s="90" t="n">
        <x:v>15210</x:v>
      </x:c>
      <x:c r="F114" s="90" t="n">
        <x:v>15185</x:v>
      </x:c>
      <x:c r="G114" t="str">
        <x:v>Posted</x:v>
      </x:c>
      <x:c r="H114" t="str">
        <x:v>Settled</x:v>
      </x:c>
      <x:c r="I114" t="str">
        <x:v>Risk Ops</x:v>
      </x:c>
      <x:c r="J114" t="n">
        <x:v>8</x:v>
      </x:c>
      <x:c r="K114" s="90" t="n">
        <x:f>IF(OR(E114="",F114=""),"",F114-E114)</x:f>
        <x:v>-25</x:v>
      </x:c>
      <x:c r="L114" t="str">
        <x:f>IF(M114="No Exception","Matched","Exception")</x:f>
        <x:v>Exception</x:v>
      </x:c>
      <x:c r="M114" t="str">
        <x:f>IF(COUNTIF($B$5:$B$124,B114)&gt;1,"Duplicate Reference",IF(E114="","Missing in Internal Ledger",IF(F114="","Missing in Bank",IF(ABS(K114)&gt;Rules!$C$5,"Amount Mismatch",IF(OR(G114="Pending",H114="Pending",H114="Missing"),"Status Mismatch","No Exception")))))</x:f>
        <x:v>Amount Mismatch</x:v>
      </x:c>
      <x:c r="N114" t="str">
        <x:f>IF(J114&gt;=Rules!$C$10,"Red &gt;7d",IF(J114&gt;=Rules!$C$9,"Amber 3-6d","Green 0-2d"))</x:f>
        <x:v>Red &gt;7d</x:v>
      </x:c>
      <x:c r="O114" t="str">
        <x:f>IF(OR(N114="Red &gt;7d",M114="Missing in Bank",M114="Missing in Internal Ledger"),"P110",IF(OR(M114="Amount Mismatch",M114="Duplicate Reference"),"P111","P112"))</x:f>
        <x:v>P110</x:v>
      </x:c>
      <x:c r="P114" t="str">
        <x:f>IF(M114="No Exception","NA",IF(M114="Amount Mismatch","Fee/settlement difference",IF(M114="Duplicate Reference","Duplicate posting or retry",IF(M114="Missing in Bank","Settlement delay",IF(M114="Missing in Internal Ledger","Posting/integration issue","Status timing gap")))))</x:f>
        <x:v>Fee/settlement difference</x:v>
      </x:c>
      <x:c r="Q114" t="str">
        <x:f>IF(M114="No Exception","No action",IF(O114="P110","Escalate today",IF(O114="P111","Investigate within 48 hrs","Monitor in next batch")))</x:f>
        <x:v>Escalate today</x:v>
      </x:c>
    </x:row>
    <x:row r="115">
      <x:c r="A115" s="88" t="n">
        <x:v>46149</x:v>
      </x:c>
      <x:c r="B115" t="str">
        <x:v>TXN100111</x:v>
      </x:c>
      <x:c r="C115" t="str">
        <x:v>Fashio</x:v>
      </x:c>
      <x:c r="D115" t="str">
        <x:v>NetBanking</x:v>
      </x:c>
      <x:c r="E115" s="90" t="n">
        <x:v>12553</x:v>
      </x:c>
      <x:c r="F115" s="90" t="n">
        <x:v>12553</x:v>
      </x:c>
      <x:c r="G115" t="str">
        <x:v>Posted</x:v>
      </x:c>
      <x:c r="H115" t="str">
        <x:v>Settled</x:v>
      </x:c>
      <x:c r="I115" t="str">
        <x:v>Payments Ops</x:v>
      </x:c>
      <x:c r="J115" t="n">
        <x:v>10</x:v>
      </x:c>
      <x:c r="K115" s="90" t="n">
        <x:f>IF(OR(E115="",F115=""),"",F115-E115)</x:f>
        <x:v>0</x:v>
      </x:c>
      <x:c r="L115" t="str">
        <x:f>IF(M115="No Exception","Matched","Exception")</x:f>
        <x:v>Matched</x:v>
      </x:c>
      <x:c r="M115" t="str">
        <x:f>IF(COUNTIF($B$5:$B$124,B115)&gt;1,"Duplicate Reference",IF(E115="","Missing in Internal Ledger",IF(F115="","Missing in Bank",IF(ABS(K115)&gt;Rules!$C$5,"Amount Mismatch",IF(OR(G115="Pending",H115="Pending",H115="Missing"),"Status Mismatch","No Exception")))))</x:f>
        <x:v>No Exception</x:v>
      </x:c>
      <x:c r="N115" t="str">
        <x:f>IF(J115&gt;=Rules!$C$10,"Red &gt;7d",IF(J115&gt;=Rules!$C$9,"Amber 3-6d","Green 0-2d"))</x:f>
        <x:v>Red &gt;7d</x:v>
      </x:c>
      <x:c r="O115" t="str">
        <x:f>IF(OR(N115="Red &gt;7d",M115="Missing in Bank",M115="Missing in Internal Ledger"),"P111",IF(OR(M115="Amount Mismatch",M115="Duplicate Reference"),"P112","P113"))</x:f>
        <x:v>P111</x:v>
      </x:c>
      <x:c r="P115" t="str">
        <x:f>IF(M115="No Exception","NA",IF(M115="Amount Mismatch","Fee/settlement difference",IF(M115="Duplicate Reference","Duplicate posting or retry",IF(M115="Missing in Bank","Settlement delay",IF(M115="Missing in Internal Ledger","Posting/integration issue","Status timing gap")))))</x:f>
        <x:v>NA</x:v>
      </x:c>
      <x:c r="Q115" t="str">
        <x:f>IF(M115="No Exception","No action",IF(O115="P111","Escalate today",IF(O115="P112","Investigate within 48 hrs","Monitor in next batch")))</x:f>
        <x:v>No action</x:v>
      </x:c>
    </x:row>
    <x:row r="116">
      <x:c r="A116" s="88" t="n">
        <x:v>46146</x:v>
      </x:c>
      <x:c r="B116" t="str">
        <x:v>TXN100112</x:v>
      </x:c>
      <x:c r="C116" t="str">
        <x:v>TravelGo</x:v>
      </x:c>
      <x:c r="D116" t="str">
        <x:v>Cards</x:v>
      </x:c>
      <x:c r="E116" s="90" t="n">
        <x:v>13013</x:v>
      </x:c>
      <x:c r="F116" s="90" t="n">
        <x:v>13013</x:v>
      </x:c>
      <x:c r="G116" t="str">
        <x:v>Posted</x:v>
      </x:c>
      <x:c r="H116" t="str">
        <x:v>Settled</x:v>
      </x:c>
      <x:c r="I116" t="str">
        <x:v>Risk Ops</x:v>
      </x:c>
      <x:c r="J116" t="n">
        <x:v>8</x:v>
      </x:c>
      <x:c r="K116" s="90" t="n">
        <x:f>IF(OR(E116="",F116=""),"",F116-E116)</x:f>
        <x:v>0</x:v>
      </x:c>
      <x:c r="L116" t="str">
        <x:f>IF(M116="No Exception","Matched","Exception")</x:f>
        <x:v>Matched</x:v>
      </x:c>
      <x:c r="M116" t="str">
        <x:f>IF(COUNTIF($B$5:$B$124,B116)&gt;1,"Duplicate Reference",IF(E116="","Missing in Internal Ledger",IF(F116="","Missing in Bank",IF(ABS(K116)&gt;Rules!$C$5,"Amount Mismatch",IF(OR(G116="Pending",H116="Pending",H116="Missing"),"Status Mismatch","No Exception")))))</x:f>
        <x:v>No Exception</x:v>
      </x:c>
      <x:c r="N116" t="str">
        <x:f>IF(J116&gt;=Rules!$C$10,"Red &gt;7d",IF(J116&gt;=Rules!$C$9,"Amber 3-6d","Green 0-2d"))</x:f>
        <x:v>Red &gt;7d</x:v>
      </x:c>
      <x:c r="O116" t="str">
        <x:f>IF(OR(N116="Red &gt;7d",M116="Missing in Bank",M116="Missing in Internal Ledger"),"P112",IF(OR(M116="Amount Mismatch",M116="Duplicate Reference"),"P113","P114"))</x:f>
        <x:v>P112</x:v>
      </x:c>
      <x:c r="P116" t="str">
        <x:f>IF(M116="No Exception","NA",IF(M116="Amount Mismatch","Fee/settlement difference",IF(M116="Duplicate Reference","Duplicate posting or retry",IF(M116="Missing in Bank","Settlement delay",IF(M116="Missing in Internal Ledger","Posting/integration issue","Status timing gap")))))</x:f>
        <x:v>NA</x:v>
      </x:c>
      <x:c r="Q116" t="str">
        <x:f>IF(M116="No Exception","No action",IF(O116="P112","Escalate today",IF(O116="P113","Investigate within 48 hrs","Monitor in next batch")))</x:f>
        <x:v>No action</x:v>
      </x:c>
    </x:row>
    <x:row r="117">
      <x:c r="A117" s="88" t="n">
        <x:v>46116</x:v>
      </x:c>
      <x:c r="B117" t="str">
        <x:v>TXN100113</x:v>
      </x:c>
      <x:c r="C117" t="str">
        <x:v>Fashio</x:v>
      </x:c>
      <x:c r="D117" t="str">
        <x:v>Wallet</x:v>
      </x:c>
      <x:c r="E117" s="90" t="n">
        <x:v>5035</x:v>
      </x:c>
      <x:c r="F117" s="90" t="n">
        <x:v>5035</x:v>
      </x:c>
      <x:c r="G117" t="str">
        <x:v>Posted</x:v>
      </x:c>
      <x:c r="H117" t="str">
        <x:v>Settled</x:v>
      </x:c>
      <x:c r="I117" t="str">
        <x:v>Finance Ops</x:v>
      </x:c>
      <x:c r="J117" t="n">
        <x:v>4</x:v>
      </x:c>
      <x:c r="K117" s="90" t="n">
        <x:f>IF(OR(E117="",F117=""),"",F117-E117)</x:f>
        <x:v>0</x:v>
      </x:c>
      <x:c r="L117" t="str">
        <x:f>IF(M117="No Exception","Matched","Exception")</x:f>
        <x:v>Matched</x:v>
      </x:c>
      <x:c r="M117" t="str">
        <x:f>IF(COUNTIF($B$5:$B$124,B117)&gt;1,"Duplicate Reference",IF(E117="","Missing in Internal Ledger",IF(F117="","Missing in Bank",IF(ABS(K117)&gt;Rules!$C$5,"Amount Mismatch",IF(OR(G117="Pending",H117="Pending",H117="Missing"),"Status Mismatch","No Exception")))))</x:f>
        <x:v>No Exception</x:v>
      </x:c>
      <x:c r="N117" t="str">
        <x:f>IF(J117&gt;=Rules!$C$10,"Red &gt;7d",IF(J117&gt;=Rules!$C$9,"Amber 3-6d","Green 0-2d"))</x:f>
        <x:v>Amber 3-6d</x:v>
      </x:c>
      <x:c r="O117" t="str">
        <x:f>IF(OR(N117="Red &gt;7d",M117="Missing in Bank",M117="Missing in Internal Ledger"),"P113",IF(OR(M117="Amount Mismatch",M117="Duplicate Reference"),"P114","P115"))</x:f>
        <x:v>P115</x:v>
      </x:c>
      <x:c r="P117" t="str">
        <x:f>IF(M117="No Exception","NA",IF(M117="Amount Mismatch","Fee/settlement difference",IF(M117="Duplicate Reference","Duplicate posting or retry",IF(M117="Missing in Bank","Settlement delay",IF(M117="Missing in Internal Ledger","Posting/integration issue","Status timing gap")))))</x:f>
        <x:v>NA</x:v>
      </x:c>
      <x:c r="Q117" t="str">
        <x:f>IF(M117="No Exception","No action",IF(O117="P113","Escalate today",IF(O117="P114","Investigate within 48 hrs","Monitor in next batch")))</x:f>
        <x:v>No action</x:v>
      </x:c>
    </x:row>
    <x:row r="118">
      <x:c r="A118" s="88" t="n">
        <x:v>46131</x:v>
      </x:c>
      <x:c r="B118" t="str">
        <x:v>TXN100114</x:v>
      </x:c>
      <x:c r="C118" t="str">
        <x:v>ShopKart</x:v>
      </x:c>
      <x:c r="D118" t="str">
        <x:v>Cards</x:v>
      </x:c>
      <x:c r="E118" s="90"/>
      <x:c r="F118" s="90" t="n">
        <x:v>17405</x:v>
      </x:c>
      <x:c r="G118" t="str">
        <x:v>Missing</x:v>
      </x:c>
      <x:c r="H118" t="str">
        <x:v>Settled</x:v>
      </x:c>
      <x:c r="I118" t="str">
        <x:v>Payments Ops</x:v>
      </x:c>
      <x:c r="J118" t="n">
        <x:v>1</x:v>
      </x:c>
      <x:c r="K118" s="90" t="str">
        <x:f>IF(OR(E118="",F118=""),"",F118-E118)</x:f>
      </x:c>
      <x:c r="L118" t="str">
        <x:f>IF(M118="No Exception","Matched","Exception")</x:f>
        <x:v>Exception</x:v>
      </x:c>
      <x:c r="M118" t="str">
        <x:f>IF(COUNTIF($B$5:$B$124,B118)&gt;1,"Duplicate Reference",IF(E118="","Missing in Internal Ledger",IF(F118="","Missing in Bank",IF(ABS(K118)&gt;Rules!$C$5,"Amount Mismatch",IF(OR(G118="Pending",H118="Pending",H118="Missing"),"Status Mismatch","No Exception")))))</x:f>
        <x:v>Missing in Internal Ledger</x:v>
      </x:c>
      <x:c r="N118" t="str">
        <x:f>IF(J118&gt;=Rules!$C$10,"Red &gt;7d",IF(J118&gt;=Rules!$C$9,"Amber 3-6d","Green 0-2d"))</x:f>
        <x:v>Green 0-2d</x:v>
      </x:c>
      <x:c r="O118" t="str">
        <x:f>IF(OR(N118="Red &gt;7d",M118="Missing in Bank",M118="Missing in Internal Ledger"),"P114",IF(OR(M118="Amount Mismatch",M118="Duplicate Reference"),"P115","P116"))</x:f>
        <x:v>P114</x:v>
      </x:c>
      <x:c r="P118" t="str">
        <x:f>IF(M118="No Exception","NA",IF(M118="Amount Mismatch","Fee/settlement difference",IF(M118="Duplicate Reference","Duplicate posting or retry",IF(M118="Missing in Bank","Settlement delay",IF(M118="Missing in Internal Ledger","Posting/integration issue","Status timing gap")))))</x:f>
        <x:v>Posting/integration issue</x:v>
      </x:c>
      <x:c r="Q118" t="str">
        <x:f>IF(M118="No Exception","No action",IF(O118="P114","Escalate today",IF(O118="P115","Investigate within 48 hrs","Monitor in next batch")))</x:f>
        <x:v>Escalate today</x:v>
      </x:c>
    </x:row>
    <x:row r="119">
      <x:c r="A119" s="88" t="n">
        <x:v>46122</x:v>
      </x:c>
      <x:c r="B119" t="str">
        <x:v>TXN100115</x:v>
      </x:c>
      <x:c r="C119" t="str">
        <x:v>TravelGo</x:v>
      </x:c>
      <x:c r="D119" t="str">
        <x:v>UPI</x:v>
      </x:c>
      <x:c r="E119" s="90" t="n">
        <x:v>15223</x:v>
      </x:c>
      <x:c r="F119" s="90" t="n">
        <x:v>15223</x:v>
      </x:c>
      <x:c r="G119" t="str">
        <x:v>Posted</x:v>
      </x:c>
      <x:c r="H119" t="str">
        <x:v>Settled</x:v>
      </x:c>
      <x:c r="I119" t="str">
        <x:v>Risk Ops</x:v>
      </x:c>
      <x:c r="J119" t="n">
        <x:v>8</x:v>
      </x:c>
      <x:c r="K119" s="90" t="n">
        <x:f>IF(OR(E119="",F119=""),"",F119-E119)</x:f>
        <x:v>0</x:v>
      </x:c>
      <x:c r="L119" t="str">
        <x:f>IF(M119="No Exception","Matched","Exception")</x:f>
        <x:v>Matched</x:v>
      </x:c>
      <x:c r="M119" t="str">
        <x:f>IF(COUNTIF($B$5:$B$124,B119)&gt;1,"Duplicate Reference",IF(E119="","Missing in Internal Ledger",IF(F119="","Missing in Bank",IF(ABS(K119)&gt;Rules!$C$5,"Amount Mismatch",IF(OR(G119="Pending",H119="Pending",H119="Missing"),"Status Mismatch","No Exception")))))</x:f>
        <x:v>No Exception</x:v>
      </x:c>
      <x:c r="N119" t="str">
        <x:f>IF(J119&gt;=Rules!$C$10,"Red &gt;7d",IF(J119&gt;=Rules!$C$9,"Amber 3-6d","Green 0-2d"))</x:f>
        <x:v>Red &gt;7d</x:v>
      </x:c>
      <x:c r="O119" t="str">
        <x:f>IF(OR(N119="Red &gt;7d",M119="Missing in Bank",M119="Missing in Internal Ledger"),"P115",IF(OR(M119="Amount Mismatch",M119="Duplicate Reference"),"P116","P117"))</x:f>
        <x:v>P115</x:v>
      </x:c>
      <x:c r="P119" t="str">
        <x:f>IF(M119="No Exception","NA",IF(M119="Amount Mismatch","Fee/settlement difference",IF(M119="Duplicate Reference","Duplicate posting or retry",IF(M119="Missing in Bank","Settlement delay",IF(M119="Missing in Internal Ledger","Posting/integration issue","Status timing gap")))))</x:f>
        <x:v>NA</x:v>
      </x:c>
      <x:c r="Q119" t="str">
        <x:f>IF(M119="No Exception","No action",IF(O119="P115","Escalate today",IF(O119="P116","Investigate within 48 hrs","Monitor in next batch")))</x:f>
        <x:v>No action</x:v>
      </x:c>
    </x:row>
    <x:row r="120">
      <x:c r="A120" s="88" t="n">
        <x:v>46114</x:v>
      </x:c>
      <x:c r="B120" t="str">
        <x:v>TXN100116</x:v>
      </x:c>
      <x:c r="C120" t="str">
        <x:v>TravelGo</x:v>
      </x:c>
      <x:c r="D120" t="str">
        <x:v>UPI</x:v>
      </x:c>
      <x:c r="E120" s="90" t="n">
        <x:v>15282</x:v>
      </x:c>
      <x:c r="F120" s="90" t="n">
        <x:v>15282</x:v>
      </x:c>
      <x:c r="G120" t="str">
        <x:v>Posted</x:v>
      </x:c>
      <x:c r="H120" t="str">
        <x:v>Settled</x:v>
      </x:c>
      <x:c r="I120" t="str">
        <x:v>Merchant Ops</x:v>
      </x:c>
      <x:c r="J120" t="n">
        <x:v>5</x:v>
      </x:c>
      <x:c r="K120" s="90" t="n">
        <x:f>IF(OR(E120="",F120=""),"",F120-E120)</x:f>
        <x:v>0</x:v>
      </x:c>
      <x:c r="L120" t="str">
        <x:f>IF(M120="No Exception","Matched","Exception")</x:f>
        <x:v>Matched</x:v>
      </x:c>
      <x:c r="M120" t="str">
        <x:f>IF(COUNTIF($B$5:$B$124,B120)&gt;1,"Duplicate Reference",IF(E120="","Missing in Internal Ledger",IF(F120="","Missing in Bank",IF(ABS(K120)&gt;Rules!$C$5,"Amount Mismatch",IF(OR(G120="Pending",H120="Pending",H120="Missing"),"Status Mismatch","No Exception")))))</x:f>
        <x:v>No Exception</x:v>
      </x:c>
      <x:c r="N120" t="str">
        <x:f>IF(J120&gt;=Rules!$C$10,"Red &gt;7d",IF(J120&gt;=Rules!$C$9,"Amber 3-6d","Green 0-2d"))</x:f>
        <x:v>Amber 3-6d</x:v>
      </x:c>
      <x:c r="O120" t="str">
        <x:f>IF(OR(N120="Red &gt;7d",M120="Missing in Bank",M120="Missing in Internal Ledger"),"P116",IF(OR(M120="Amount Mismatch",M120="Duplicate Reference"),"P117","P118"))</x:f>
        <x:v>P118</x:v>
      </x:c>
      <x:c r="P120" t="str">
        <x:f>IF(M120="No Exception","NA",IF(M120="Amount Mismatch","Fee/settlement difference",IF(M120="Duplicate Reference","Duplicate posting or retry",IF(M120="Missing in Bank","Settlement delay",IF(M120="Missing in Internal Ledger","Posting/integration issue","Status timing gap")))))</x:f>
        <x:v>NA</x:v>
      </x:c>
      <x:c r="Q120" t="str">
        <x:f>IF(M120="No Exception","No action",IF(O120="P116","Escalate today",IF(O120="P117","Investigate within 48 hrs","Monitor in next batch")))</x:f>
        <x:v>No action</x:v>
      </x:c>
    </x:row>
    <x:row r="121">
      <x:c r="A121" s="88" t="n">
        <x:v>46128</x:v>
      </x:c>
      <x:c r="B121" t="str">
        <x:v>TXN100117</x:v>
      </x:c>
      <x:c r="C121" t="str">
        <x:v>TravelGo</x:v>
      </x:c>
      <x:c r="D121" t="str">
        <x:v>UPI</x:v>
      </x:c>
      <x:c r="E121" s="90" t="n">
        <x:v>16949</x:v>
      </x:c>
      <x:c r="F121" s="90" t="n">
        <x:v>16949</x:v>
      </x:c>
      <x:c r="G121" t="str">
        <x:v>Pending</x:v>
      </x:c>
      <x:c r="H121" t="str">
        <x:v>Settled</x:v>
      </x:c>
      <x:c r="I121" t="str">
        <x:v>Payments Ops</x:v>
      </x:c>
      <x:c r="J121" t="n">
        <x:v>5</x:v>
      </x:c>
      <x:c r="K121" s="90" t="n">
        <x:f>IF(OR(E121="",F121=""),"",F121-E121)</x:f>
        <x:v>0</x:v>
      </x:c>
      <x:c r="L121" t="str">
        <x:f>IF(M121="No Exception","Matched","Exception")</x:f>
        <x:v>Exception</x:v>
      </x:c>
      <x:c r="M121" t="str">
        <x:f>IF(COUNTIF($B$5:$B$124,B121)&gt;1,"Duplicate Reference",IF(E121="","Missing in Internal Ledger",IF(F121="","Missing in Bank",IF(ABS(K121)&gt;Rules!$C$5,"Amount Mismatch",IF(OR(G121="Pending",H121="Pending",H121="Missing"),"Status Mismatch","No Exception")))))</x:f>
        <x:v>Status Mismatch</x:v>
      </x:c>
      <x:c r="N121" t="str">
        <x:f>IF(J121&gt;=Rules!$C$10,"Red &gt;7d",IF(J121&gt;=Rules!$C$9,"Amber 3-6d","Green 0-2d"))</x:f>
        <x:v>Amber 3-6d</x:v>
      </x:c>
      <x:c r="O121" t="str">
        <x:f>IF(OR(N121="Red &gt;7d",M121="Missing in Bank",M121="Missing in Internal Ledger"),"P117",IF(OR(M121="Amount Mismatch",M121="Duplicate Reference"),"P118","P119"))</x:f>
        <x:v>P119</x:v>
      </x:c>
      <x:c r="P121" t="str">
        <x:f>IF(M121="No Exception","NA",IF(M121="Amount Mismatch","Fee/settlement difference",IF(M121="Duplicate Reference","Duplicate posting or retry",IF(M121="Missing in Bank","Settlement delay",IF(M121="Missing in Internal Ledger","Posting/integration issue","Status timing gap")))))</x:f>
        <x:v>Status timing gap</x:v>
      </x:c>
      <x:c r="Q121" t="str">
        <x:f>IF(M121="No Exception","No action",IF(O121="P117","Escalate today",IF(O121="P118","Investigate within 48 hrs","Monitor in next batch")))</x:f>
        <x:v>Monitor in next batch</x:v>
      </x:c>
    </x:row>
    <x:row r="122">
      <x:c r="A122" s="88" t="n">
        <x:v>46133</x:v>
      </x:c>
      <x:c r="B122" t="str">
        <x:v>TXN100118</x:v>
      </x:c>
      <x:c r="C122" t="str">
        <x:v>ShopKart</x:v>
      </x:c>
      <x:c r="D122" t="str">
        <x:v>Wallet</x:v>
      </x:c>
      <x:c r="E122" s="90" t="n">
        <x:v>7857</x:v>
      </x:c>
      <x:c r="F122" s="90" t="n">
        <x:v>7857</x:v>
      </x:c>
      <x:c r="G122" t="str">
        <x:v>Posted</x:v>
      </x:c>
      <x:c r="H122" t="str">
        <x:v>Settled</x:v>
      </x:c>
      <x:c r="I122" t="str">
        <x:v>Risk Ops</x:v>
      </x:c>
      <x:c r="J122" t="n">
        <x:v>0</x:v>
      </x:c>
      <x:c r="K122" s="90" t="n">
        <x:f>IF(OR(E122="",F122=""),"",F122-E122)</x:f>
        <x:v>0</x:v>
      </x:c>
      <x:c r="L122" t="str">
        <x:f>IF(M122="No Exception","Matched","Exception")</x:f>
        <x:v>Matched</x:v>
      </x:c>
      <x:c r="M122" t="str">
        <x:f>IF(COUNTIF($B$5:$B$124,B122)&gt;1,"Duplicate Reference",IF(E122="","Missing in Internal Ledger",IF(F122="","Missing in Bank",IF(ABS(K122)&gt;Rules!$C$5,"Amount Mismatch",IF(OR(G122="Pending",H122="Pending",H122="Missing"),"Status Mismatch","No Exception")))))</x:f>
        <x:v>No Exception</x:v>
      </x:c>
      <x:c r="N122" t="str">
        <x:f>IF(J122&gt;=Rules!$C$10,"Red &gt;7d",IF(J122&gt;=Rules!$C$9,"Amber 3-6d","Green 0-2d"))</x:f>
        <x:v>Green 0-2d</x:v>
      </x:c>
      <x:c r="O122" t="str">
        <x:f>IF(OR(N122="Red &gt;7d",M122="Missing in Bank",M122="Missing in Internal Ledger"),"P118",IF(OR(M122="Amount Mismatch",M122="Duplicate Reference"),"P119","P120"))</x:f>
        <x:v>P120</x:v>
      </x:c>
      <x:c r="P122" t="str">
        <x:f>IF(M122="No Exception","NA",IF(M122="Amount Mismatch","Fee/settlement difference",IF(M122="Duplicate Reference","Duplicate posting or retry",IF(M122="Missing in Bank","Settlement delay",IF(M122="Missing in Internal Ledger","Posting/integration issue","Status timing gap")))))</x:f>
        <x:v>NA</x:v>
      </x:c>
      <x:c r="Q122" t="str">
        <x:f>IF(M122="No Exception","No action",IF(O122="P118","Escalate today",IF(O122="P119","Investigate within 48 hrs","Monitor in next batch")))</x:f>
        <x:v>No action</x:v>
      </x:c>
    </x:row>
    <x:row r="123">
      <x:c r="A123" s="88" t="n">
        <x:v>46131</x:v>
      </x:c>
      <x:c r="B123" t="str">
        <x:v>TXN100119</x:v>
      </x:c>
      <x:c r="C123" t="str">
        <x:v>Fashio</x:v>
      </x:c>
      <x:c r="D123" t="str">
        <x:v>Cards</x:v>
      </x:c>
      <x:c r="E123" s="90" t="n">
        <x:v>5008</x:v>
      </x:c>
      <x:c r="F123" s="90"/>
      <x:c r="G123" t="str">
        <x:v>Posted</x:v>
      </x:c>
      <x:c r="H123" t="str">
        <x:v>Missing</x:v>
      </x:c>
      <x:c r="I123" t="str">
        <x:v>Merchant Ops</x:v>
      </x:c>
      <x:c r="J123" t="n">
        <x:v>0</x:v>
      </x:c>
      <x:c r="K123" s="90" t="str">
        <x:f>IF(OR(E123="",F123=""),"",F123-E123)</x:f>
      </x:c>
      <x:c r="L123" t="str">
        <x:f>IF(M123="No Exception","Matched","Exception")</x:f>
        <x:v>Exception</x:v>
      </x:c>
      <x:c r="M123" t="str">
        <x:f>IF(COUNTIF($B$5:$B$124,B123)&gt;1,"Duplicate Reference",IF(E123="","Missing in Internal Ledger",IF(F123="","Missing in Bank",IF(ABS(K123)&gt;Rules!$C$5,"Amount Mismatch",IF(OR(G123="Pending",H123="Pending",H123="Missing"),"Status Mismatch","No Exception")))))</x:f>
        <x:v>Missing in Bank</x:v>
      </x:c>
      <x:c r="N123" t="str">
        <x:f>IF(J123&gt;=Rules!$C$10,"Red &gt;7d",IF(J123&gt;=Rules!$C$9,"Amber 3-6d","Green 0-2d"))</x:f>
        <x:v>Green 0-2d</x:v>
      </x:c>
      <x:c r="O123" t="str">
        <x:f>IF(OR(N123="Red &gt;7d",M123="Missing in Bank",M123="Missing in Internal Ledger"),"P119",IF(OR(M123="Amount Mismatch",M123="Duplicate Reference"),"P120","P121"))</x:f>
        <x:v>P119</x:v>
      </x:c>
      <x:c r="P123" t="str">
        <x:f>IF(M123="No Exception","NA",IF(M123="Amount Mismatch","Fee/settlement difference",IF(M123="Duplicate Reference","Duplicate posting or retry",IF(M123="Missing in Bank","Settlement delay",IF(M123="Missing in Internal Ledger","Posting/integration issue","Status timing gap")))))</x:f>
        <x:v>Settlement delay</x:v>
      </x:c>
      <x:c r="Q123" t="str">
        <x:f>IF(M123="No Exception","No action",IF(O123="P119","Escalate today",IF(O123="P120","Investigate within 48 hrs","Monitor in next batch")))</x:f>
        <x:v>Escalate today</x:v>
      </x:c>
    </x:row>
    <x:row r="124">
      <x:c r="A124" s="88" t="n">
        <x:v>46113</x:v>
      </x:c>
      <x:c r="B124" t="str">
        <x:v>TXN100120</x:v>
      </x:c>
      <x:c r="C124" t="str">
        <x:v>ShopKart</x:v>
      </x:c>
      <x:c r="D124" t="str">
        <x:v>UPI</x:v>
      </x:c>
      <x:c r="E124" s="90" t="n">
        <x:v>15199</x:v>
      </x:c>
      <x:c r="F124" s="90" t="n">
        <x:v>15199</x:v>
      </x:c>
      <x:c r="G124" t="str">
        <x:v>Posted</x:v>
      </x:c>
      <x:c r="H124" t="str">
        <x:v>Settled</x:v>
      </x:c>
      <x:c r="I124" t="str">
        <x:v>Payments Ops</x:v>
      </x:c>
      <x:c r="J124" t="n">
        <x:v>9</x:v>
      </x:c>
      <x:c r="K124" s="90" t="n">
        <x:f>IF(OR(E124="",F124=""),"",F124-E124)</x:f>
        <x:v>0</x:v>
      </x:c>
      <x:c r="L124" t="str">
        <x:f>IF(M124="No Exception","Matched","Exception")</x:f>
        <x:v>Matched</x:v>
      </x:c>
      <x:c r="M124" t="str">
        <x:f>IF(COUNTIF($B$5:$B$124,B124)&gt;1,"Duplicate Reference",IF(E124="","Missing in Internal Ledger",IF(F124="","Missing in Bank",IF(ABS(K124)&gt;Rules!$C$5,"Amount Mismatch",IF(OR(G124="Pending",H124="Pending",H124="Missing"),"Status Mismatch","No Exception")))))</x:f>
        <x:v>No Exception</x:v>
      </x:c>
      <x:c r="N124" t="str">
        <x:f>IF(J124&gt;=Rules!$C$10,"Red &gt;7d",IF(J124&gt;=Rules!$C$9,"Amber 3-6d","Green 0-2d"))</x:f>
        <x:v>Red &gt;7d</x:v>
      </x:c>
      <x:c r="O124" t="str">
        <x:f>IF(OR(N124="Red &gt;7d",M124="Missing in Bank",M124="Missing in Internal Ledger"),"P120",IF(OR(M124="Amount Mismatch",M124="Duplicate Reference"),"P121","P122"))</x:f>
        <x:v>P120</x:v>
      </x:c>
      <x:c r="P124" t="str">
        <x:f>IF(M124="No Exception","NA",IF(M124="Amount Mismatch","Fee/settlement difference",IF(M124="Duplicate Reference","Duplicate posting or retry",IF(M124="Missing in Bank","Settlement delay",IF(M124="Missing in Internal Ledger","Posting/integration issue","Status timing gap")))))</x:f>
        <x:v>NA</x:v>
      </x:c>
      <x:c r="Q124" t="str">
        <x:f>IF(M124="No Exception","No action",IF(O124="P120","Escalate today",IF(O124="P121","Investigate within 48 hrs","Monitor in next batch")))</x:f>
        <x:v>No action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491a5da2155545b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4" hidden="0" customWidth="1"/>
  </x:cols>
  <x:sheetData>
    <x:row r="1" ht="28" customHeight="1">
      <x:c r="A1" s="5" t="str">
        <x:v>Finance Ops Exception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3" t="str">
        <x:v>Formula-driven summary of reconciliation breaks, aging and priority.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24" customHeight="1">
      <x:c r="A4" s="22" t="str">
        <x:v>KPI</x:v>
      </x:c>
      <x:c r="B4" s="22" t="str">
        <x:v>Value</x:v>
      </x:c>
      <x:c r="C4" s="22" t="str">
        <x:v>Target / Rule</x:v>
      </x:c>
      <x:c r="D4" s="22" t="str">
        <x:v>Status</x:v>
      </x:c>
      <x:c r="F4" s="22" t="str">
        <x:v>Exception Type</x:v>
      </x:c>
      <x:c r="G4" s="22" t="str">
        <x:v>Count</x:v>
      </x:c>
      <x:c r="H4" s="22" t="str">
        <x:v>Share</x:v>
      </x:c>
    </x:row>
    <x:row r="5">
      <x:c r="A5" s="52" t="str">
        <x:v>Total Transactions</x:v>
      </x:c>
      <x:c r="B5" s="53" t="n">
        <x:f>COUNTA(Transactions!B5:B124)</x:f>
        <x:v>120</x:v>
      </x:c>
      <x:c r="C5" s="53" t="str"/>
      <x:c r="D5" s="54"/>
      <x:c r="F5" s="34" t="str">
        <x:v>No Exception</x:v>
      </x:c>
      <x:c r="G5" s="35" t="n">
        <x:f>COUNTIF(Transactions!$M$5:$M$124,F5)</x:f>
        <x:v>85</x:v>
      </x:c>
      <x:c r="H5" s="106" t="n">
        <x:f>G5/$B$5</x:f>
        <x:v>0.7083333333333334</x:v>
      </x:c>
    </x:row>
    <x:row r="6">
      <x:c r="A6" s="55" t="str">
        <x:v>Matched Transactions</x:v>
      </x:c>
      <x:c r="B6" s="56" t="n">
        <x:f>COUNTIF(Transactions!M5:M124,"No Exception")</x:f>
        <x:v>85</x:v>
      </x:c>
      <x:c r="C6" s="56" t="str"/>
      <x:c r="D6" s="57"/>
      <x:c r="F6" s="37" t="str">
        <x:v>Amount Mismatch</x:v>
      </x:c>
      <x:c r="G6" s="38" t="n">
        <x:f>COUNTIF(Transactions!$M$5:$M$124,F6)</x:f>
        <x:v>9</x:v>
      </x:c>
      <x:c r="H6" s="107" t="n">
        <x:f>G6/$B$5</x:f>
        <x:v>0.075</x:v>
      </x:c>
    </x:row>
    <x:row r="7">
      <x:c r="A7" s="55" t="str">
        <x:v>Open Exceptions</x:v>
      </x:c>
      <x:c r="B7" s="56" t="n">
        <x:f>COUNTIF(Transactions!L5:L124,"Exception")</x:f>
        <x:v>35</x:v>
      </x:c>
      <x:c r="C7" s="56" t="str"/>
      <x:c r="D7" s="57"/>
      <x:c r="F7" s="37" t="str">
        <x:v>Duplicate Reference</x:v>
      </x:c>
      <x:c r="G7" s="38" t="n">
        <x:f>COUNTIF(Transactions!$M$5:$M$124,F7)</x:f>
        <x:v>4</x:v>
      </x:c>
      <x:c r="H7" s="107" t="n">
        <x:f>G7/$B$5</x:f>
        <x:v>0.03333333333333333</x:v>
      </x:c>
    </x:row>
    <x:row r="8">
      <x:c r="A8" s="55" t="str">
        <x:v>Exception Rate</x:v>
      </x:c>
      <x:c r="B8" s="98" t="n">
        <x:f>B7/B5</x:f>
        <x:v>0.2916666666666667</x:v>
      </x:c>
      <x:c r="C8" s="56" t="str">
        <x:v>&lt;5%</x:v>
      </x:c>
      <x:c r="D8" s="57" t="str">
        <x:f>IF(B8&lt;5%,"Green","Red")</x:f>
        <x:v>Red</x:v>
      </x:c>
      <x:c r="F8" s="37" t="str">
        <x:v>Missing in Bank</x:v>
      </x:c>
      <x:c r="G8" s="38" t="n">
        <x:f>COUNTIF(Transactions!$M$5:$M$124,F8)</x:f>
        <x:v>7</x:v>
      </x:c>
      <x:c r="H8" s="107" t="n">
        <x:f>G8/$B$5</x:f>
        <x:v>0.058333333333333334</x:v>
      </x:c>
    </x:row>
    <x:row r="9">
      <x:c r="A9" s="55" t="str">
        <x:v>P1 Exceptions</x:v>
      </x:c>
      <x:c r="B9" s="56" t="n">
        <x:f>COUNTIF(Transactions!O5:O124,"P1")</x:f>
        <x:v>0</x:v>
      </x:c>
      <x:c r="C9" s="56" t="str">
        <x:v>Minimize</x:v>
      </x:c>
      <x:c r="D9" s="57" t="str">
        <x:f>IF(B9=0,"Green","Red")</x:f>
        <x:v>Green</x:v>
      </x:c>
      <x:c r="F9" s="37" t="str">
        <x:v>Missing in Internal Ledger</x:v>
      </x:c>
      <x:c r="G9" s="38" t="n">
        <x:f>COUNTIF(Transactions!$M$5:$M$124,F9)</x:f>
        <x:v>6</x:v>
      </x:c>
      <x:c r="H9" s="107" t="n">
        <x:f>G9/$B$5</x:f>
        <x:v>0.05</x:v>
      </x:c>
    </x:row>
    <x:row r="10">
      <x:c r="A10" s="55" t="str">
        <x:v>Amount Mismatch ₹</x:v>
      </x:c>
      <x:c r="B10" s="99" t="n">
        <x:f>SUMIF(Transactions!M5:M124,"Amount Mismatch",Transactions!K5:K124)</x:f>
        <x:v>485</x:v>
      </x:c>
      <x:c r="C10" s="56" t="str">
        <x:v>Investigate</x:v>
      </x:c>
      <x:c r="D10" s="57" t="str">
        <x:f>IF(ABS(B10)&lt;1000,"Green","Amber")</x:f>
        <x:v>Green</x:v>
      </x:c>
      <x:c r="F10" s="40" t="str">
        <x:v>Status Mismatch</x:v>
      </x:c>
      <x:c r="G10" s="41" t="n">
        <x:f>COUNTIF(Transactions!$M$5:$M$124,F10)</x:f>
        <x:v>9</x:v>
      </x:c>
      <x:c r="H10" s="108" t="n">
        <x:f>G10/$B$5</x:f>
        <x:v>0.075</x:v>
      </x:c>
    </x:row>
    <x:row r="11">
      <x:c r="A11" s="58" t="str">
        <x:v>Red Aging Exceptions</x:v>
      </x:c>
      <x:c r="B11" s="59" t="n">
        <x:f>COUNTIF(Transactions!N5:N124,"Red &gt;7d")</x:f>
        <x:v>52</x:v>
      </x:c>
      <x:c r="C11" s="59" t="str">
        <x:v>0</x:v>
      </x:c>
      <x:c r="D11" s="60" t="str">
        <x:f>IF(B11=0,"Green","Red")</x:f>
        <x:v>Red</x:v>
      </x:c>
    </x:row>
  </x:sheetData>
  <x:mergeCells>
    <x:mergeCell ref="A1:K1"/>
    <x:mergeCell ref="A2:K2"/>
  </x:mergeCells>
  <x:pageMargins left="0.7" right="0.7" top="0.75" bottom="0.75" header="0.3" footer="0.3"/>
  <x:drawing xmlns:r="http://schemas.openxmlformats.org/officeDocument/2006/relationships" r:id="Rfe1f05f2a10f4c95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  <x:col min="3" max="3" width="30" hidden="0" customWidth="1"/>
    <x:col min="4" max="4" width="14" hidden="0" customWidth="1"/>
    <x:col min="5" max="5" width="18" hidden="0" customWidth="1"/>
    <x:col min="6" max="6" width="20" hidden="0" customWidth="1"/>
    <x:col min="7" max="7" width="22" hidden="0" customWidth="1"/>
    <x:col min="8" max="8" width="20" hidden="0" customWidth="1"/>
  </x:cols>
  <x:sheetData>
    <x:row r="1" ht="28" customHeight="1">
      <x:c r="A1" s="5" t="str">
        <x:v>Control Matrix and Operating Model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3" t="str">
        <x:v>Controls to make reconciliation auditable and operationally owned.</x:v>
      </x:c>
      <x:c r="B2" s="13"/>
      <x:c r="C2" s="13"/>
      <x:c r="D2" s="13"/>
      <x:c r="E2" s="13"/>
      <x:c r="F2" s="13"/>
      <x:c r="G2" s="13"/>
      <x:c r="H2" s="13"/>
    </x:row>
    <x:row r="4" ht="24" customHeight="1">
      <x:c r="A4" s="22" t="str">
        <x:v>Control</x:v>
      </x:c>
      <x:c r="B4" s="22" t="str">
        <x:v>Risk addressed</x:v>
      </x:c>
      <x:c r="C4" s="22" t="str">
        <x:v>Evidence</x:v>
      </x:c>
      <x:c r="D4" s="22" t="str">
        <x:v>Frequency</x:v>
      </x:c>
      <x:c r="E4" s="22" t="str">
        <x:v>Owner</x:v>
      </x:c>
      <x:c r="F4" s="22" t="str">
        <x:v>Threshold</x:v>
      </x:c>
      <x:c r="G4" s="22" t="str">
        <x:v>Escalation</x:v>
      </x:c>
      <x:c r="H4" s="22" t="str">
        <x:v>Automation Candidate</x:v>
      </x:c>
    </x:row>
    <x:row r="5">
      <x:c r="A5" s="52" t="str">
        <x:v>Duplicate reference check</x:v>
      </x:c>
      <x:c r="B5" s="53" t="str">
        <x:v>Duplicate posting / double settlement</x:v>
      </x:c>
      <x:c r="C5" s="53" t="str">
        <x:v>Duplicate ID report</x:v>
      </x:c>
      <x:c r="D5" s="53" t="str">
        <x:v>Daily</x:v>
      </x:c>
      <x:c r="E5" s="53" t="str">
        <x:v>Finance Ops</x:v>
      </x:c>
      <x:c r="F5" s="53" t="str">
        <x:v>Any duplicate</x:v>
      </x:c>
      <x:c r="G5" s="53" t="str">
        <x:v>Payments Ops</x:v>
      </x:c>
      <x:c r="H5" s="54" t="str">
        <x:v>Yes</x:v>
      </x:c>
    </x:row>
    <x:row r="6">
      <x:c r="A6" s="55" t="str">
        <x:v>Amount tolerance check</x:v>
      </x:c>
      <x:c r="B6" s="56" t="str">
        <x:v>Settlement/fee mismatch</x:v>
      </x:c>
      <x:c r="C6" s="56" t="str">
        <x:v>Amount diff report</x:v>
      </x:c>
      <x:c r="D6" s="56" t="str">
        <x:v>Daily</x:v>
      </x:c>
      <x:c r="E6" s="56" t="str">
        <x:v>Finance Ops</x:v>
      </x:c>
      <x:c r="F6" s="56" t="str">
        <x:v>&gt; ₹10</x:v>
      </x:c>
      <x:c r="G6" s="56" t="str">
        <x:v>Finance Manager</x:v>
      </x:c>
      <x:c r="H6" s="57" t="str">
        <x:v>Yes</x:v>
      </x:c>
    </x:row>
    <x:row r="7">
      <x:c r="A7" s="55" t="str">
        <x:v>Missing bank record check</x:v>
      </x:c>
      <x:c r="B7" s="56" t="str">
        <x:v>Delayed settlement</x:v>
      </x:c>
      <x:c r="C7" s="56" t="str">
        <x:v>Unmatched internal ledger list</x:v>
      </x:c>
      <x:c r="D7" s="56" t="str">
        <x:v>Daily</x:v>
      </x:c>
      <x:c r="E7" s="56" t="str">
        <x:v>Payments Ops</x:v>
      </x:c>
      <x:c r="F7" s="56" t="str">
        <x:v>Any missing bank</x:v>
      </x:c>
      <x:c r="G7" s="56" t="str">
        <x:v>Risk Ops</x:v>
      </x:c>
      <x:c r="H7" s="57" t="str">
        <x:v>Yes</x:v>
      </x:c>
    </x:row>
    <x:row r="8">
      <x:c r="A8" s="55" t="str">
        <x:v>Missing ledger record check</x:v>
      </x:c>
      <x:c r="B8" s="56" t="str">
        <x:v>Posting/integration failure</x:v>
      </x:c>
      <x:c r="C8" s="56" t="str">
        <x:v>Unmatched bank list</x:v>
      </x:c>
      <x:c r="D8" s="56" t="str">
        <x:v>Daily</x:v>
      </x:c>
      <x:c r="E8" s="56" t="str">
        <x:v>Finance Ops</x:v>
      </x:c>
      <x:c r="F8" s="56" t="str">
        <x:v>Any missing ledger</x:v>
      </x:c>
      <x:c r="G8" s="56" t="str">
        <x:v>Tech Support</x:v>
      </x:c>
      <x:c r="H8" s="57" t="str">
        <x:v>Yes</x:v>
      </x:c>
    </x:row>
    <x:row r="9">
      <x:c r="A9" s="55" t="str">
        <x:v>Aging review</x:v>
      </x:c>
      <x:c r="B9" s="56" t="str">
        <x:v>Unresolved breaks</x:v>
      </x:c>
      <x:c r="C9" s="56" t="str">
        <x:v>Aging dashboard</x:v>
      </x:c>
      <x:c r="D9" s="56" t="str">
        <x:v>Daily</x:v>
      </x:c>
      <x:c r="E9" s="56" t="str">
        <x:v>Risk Ops</x:v>
      </x:c>
      <x:c r="F9" s="56" t="str">
        <x:v>&gt; 7 days</x:v>
      </x:c>
      <x:c r="G9" s="56" t="str">
        <x:v>Ops Head</x:v>
      </x:c>
      <x:c r="H9" s="57" t="str">
        <x:v>Yes</x:v>
      </x:c>
    </x:row>
    <x:row r="10">
      <x:c r="A10" s="58" t="str">
        <x:v>Root cause coding</x:v>
      </x:c>
      <x:c r="B10" s="59" t="str">
        <x:v>Recurring exception not fixed</x:v>
      </x:c>
      <x:c r="C10" s="59" t="str">
        <x:v>RCA categories</x:v>
      </x:c>
      <x:c r="D10" s="59" t="str">
        <x:v>Weekly</x:v>
      </x:c>
      <x:c r="E10" s="59" t="str">
        <x:v>Process Excellence</x:v>
      </x:c>
      <x:c r="F10" s="59" t="str">
        <x:v>Top 5 reasons</x:v>
      </x:c>
      <x:c r="G10" s="59" t="str">
        <x:v>Leadership Review</x:v>
      </x:c>
      <x:c r="H10" s="60" t="str">
        <x:v>Partial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4" hidden="0" customWidth="1"/>
    <x:col min="4" max="4" width="24" hidden="0" customWidth="1"/>
    <x:col min="5" max="5" width="14" hidden="0" customWidth="1"/>
    <x:col min="6" max="6" width="26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Exception Resolution Action Tracker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3" t="str">
        <x:v>Owners and actions for cleaning recurring reconciliation breaks.</x:v>
      </x:c>
      <x:c r="B2" s="13"/>
      <x:c r="C2" s="13"/>
      <x:c r="D2" s="13"/>
      <x:c r="E2" s="13"/>
      <x:c r="F2" s="13"/>
      <x:c r="G2" s="13"/>
      <x:c r="H2" s="13"/>
    </x:row>
    <x:row r="4" ht="24" customHeight="1">
      <x:c r="A4" s="22" t="str">
        <x:v>Priority</x:v>
      </x:c>
      <x:c r="B4" s="22" t="str">
        <x:v>Exception Type</x:v>
      </x:c>
      <x:c r="C4" s="22" t="str">
        <x:v>Action</x:v>
      </x:c>
      <x:c r="D4" s="22" t="str">
        <x:v>Owner</x:v>
      </x:c>
      <x:c r="E4" s="22" t="str">
        <x:v>Due</x:v>
      </x:c>
      <x:c r="F4" s="22" t="str">
        <x:v>Success Metric</x:v>
      </x:c>
      <x:c r="G4" s="22" t="str">
        <x:v>Expected Impact</x:v>
      </x:c>
      <x:c r="H4" s="22" t="str">
        <x:v>Status</x:v>
      </x:c>
    </x:row>
    <x:row r="5">
      <x:c r="A5" s="52" t="str">
        <x:v>P1</x:v>
      </x:c>
      <x:c r="B5" s="53" t="str">
        <x:v>Missing in Bank</x:v>
      </x:c>
      <x:c r="C5" s="53" t="str">
        <x:v>Daily settlement status check with payment gateway</x:v>
      </x:c>
      <x:c r="D5" s="53" t="str">
        <x:v>Payments Ops</x:v>
      </x:c>
      <x:c r="E5" s="112" t="n">
        <x:v>46194</x:v>
      </x:c>
      <x:c r="F5" s="53" t="str">
        <x:v>Unmatched bank count</x:v>
      </x:c>
      <x:c r="G5" s="53" t="str">
        <x:v>High</x:v>
      </x:c>
      <x:c r="H5" s="54" t="str">
        <x:v>Not Started</x:v>
      </x:c>
    </x:row>
    <x:row r="6">
      <x:c r="A6" s="55" t="str">
        <x:v>P1</x:v>
      </x:c>
      <x:c r="B6" s="56" t="str">
        <x:v>Missing in Internal Ledger</x:v>
      </x:c>
      <x:c r="C6" s="56" t="str">
        <x:v>Re-run failed posting batch and integration logs</x:v>
      </x:c>
      <x:c r="D6" s="56" t="str">
        <x:v>Finance Ops + Tech</x:v>
      </x:c>
      <x:c r="E6" s="113" t="n">
        <x:v>46195</x:v>
      </x:c>
      <x:c r="F6" s="56" t="str">
        <x:v>Posting failures</x:v>
      </x:c>
      <x:c r="G6" s="56" t="str">
        <x:v>High</x:v>
      </x:c>
      <x:c r="H6" s="57" t="str">
        <x:v>Not Started</x:v>
      </x:c>
    </x:row>
    <x:row r="7">
      <x:c r="A7" s="55" t="str">
        <x:v>P2</x:v>
      </x:c>
      <x:c r="B7" s="56" t="str">
        <x:v>Amount Mismatch</x:v>
      </x:c>
      <x:c r="C7" s="56" t="str">
        <x:v>Parameterize fee/tax variance rules by channel</x:v>
      </x:c>
      <x:c r="D7" s="56" t="str">
        <x:v>Finance Ops</x:v>
      </x:c>
      <x:c r="E7" s="113" t="n">
        <x:v>46201</x:v>
      </x:c>
      <x:c r="F7" s="56" t="str">
        <x:v>Mismatch amount</x:v>
      </x:c>
      <x:c r="G7" s="56" t="str">
        <x:v>Medium</x:v>
      </x:c>
      <x:c r="H7" s="57" t="str">
        <x:v>Not Started</x:v>
      </x:c>
    </x:row>
    <x:row r="8">
      <x:c r="A8" s="55" t="str">
        <x:v>P2</x:v>
      </x:c>
      <x:c r="B8" s="56" t="str">
        <x:v>Duplicate Reference</x:v>
      </x:c>
      <x:c r="C8" s="56" t="str">
        <x:v>Add retry ID and idempotency check</x:v>
      </x:c>
      <x:c r="D8" s="56" t="str">
        <x:v>Tech Support</x:v>
      </x:c>
      <x:c r="E8" s="113" t="n">
        <x:v>46206</x:v>
      </x:c>
      <x:c r="F8" s="56" t="str">
        <x:v>Duplicate references</x:v>
      </x:c>
      <x:c r="G8" s="56" t="str">
        <x:v>High</x:v>
      </x:c>
      <x:c r="H8" s="57" t="str">
        <x:v>Not Started</x:v>
      </x:c>
    </x:row>
    <x:row r="9">
      <x:c r="A9" s="58" t="str">
        <x:v>P3</x:v>
      </x:c>
      <x:c r="B9" s="59" t="str">
        <x:v>Status Mismatch</x:v>
      </x:c>
      <x:c r="C9" s="59" t="str">
        <x:v>Batch-level status aging and auto-refresh</x:v>
      </x:c>
      <x:c r="D9" s="59" t="str">
        <x:v>Risk Ops</x:v>
      </x:c>
      <x:c r="E9" s="114" t="n">
        <x:v>46208</x:v>
      </x:c>
      <x:c r="F9" s="59" t="str">
        <x:v>Status mismatch age</x:v>
      </x:c>
      <x:c r="G9" s="59" t="str">
        <x:v>Medium</x:v>
      </x:c>
      <x:c r="H9" s="60" t="str">
        <x:v>Not Started</x:v>
      </x:c>
    </x:row>
  </x:sheetData>
  <x:mergeCells>
    <x:mergeCell ref="A1:H1"/>
    <x:mergeCell ref="A2:H2"/>
  </x:mergeCells>
  <x:dataValidations count="1">
    <x:dataValidation type="list" sqref="H5:H9">
      <x:formula1>"Not Started,In Progress,Done,Blocked"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70" hidden="0" customWidth="1"/>
    <x:col min="4" max="4" width="55" hidden="0" customWidth="1"/>
  </x:cols>
  <x:sheetData>
    <x:row r="1" ht="28" customHeight="1">
      <x:c r="A1" s="5" t="str">
        <x:v>Sources and Notes</x:v>
      </x:c>
      <x:c r="B1" s="5"/>
      <x:c r="C1" s="5"/>
      <x:c r="D1" s="5"/>
    </x:row>
    <x:row r="2" ht="22" customHeight="1">
      <x:c r="A2" s="13" t="str">
        <x:v>Plain-text URLs are included for auditability. Project data is synthetic and safe for portfolio/GitHub use.</x:v>
      </x:c>
      <x:c r="B2" s="13"/>
      <x:c r="C2" s="13"/>
      <x:c r="D2" s="13"/>
    </x:row>
    <x:row r="4" ht="24" customHeight="1">
      <x:c r="A4" s="22" t="str">
        <x:v>Area</x:v>
      </x:c>
      <x:c r="B4" s="22" t="str">
        <x:v>Source / Description</x:v>
      </x:c>
      <x:c r="C4" s="22" t="str">
        <x:v>URL</x:v>
      </x:c>
      <x:c r="D4" s="22" t="str">
        <x:v>How used in this workbook</x:v>
      </x:c>
    </x:row>
    <x:row r="5">
      <x:c r="A5" s="52" t="str">
        <x:v>Finance reconciliation</x:v>
      </x:c>
      <x:c r="B5" s="53" t="str">
        <x:v>Reconciliation maturity: a path to AI-driven excellence for finance operations teams</x:v>
      </x:c>
      <x:c r="C5" s="53" t="str">
        <x:v>https://simetrik.com/blog/reconciliation-maturity-a-path-to-ai-driven-excellence-for-finance-operations-teams/</x:v>
      </x:c>
      <x:c r="D5" s="54" t="str">
        <x:v>Used for reconciliation automation maturity framing and visibility/control logic.</x:v>
      </x:c>
    </x:row>
    <x:row r="6">
      <x:c r="A6" s="55" t="str">
        <x:v>Finance close</x:v>
      </x:c>
      <x:c r="B6" s="56" t="str">
        <x:v>Financial close management tools / AI automation maturity</x:v>
      </x:c>
      <x:c r="C6" s="56" t="str">
        <x:v>https://www.highradius.com/resources/Blog/best-financial-close-platforms/</x:v>
      </x:c>
      <x:c r="D6" s="57" t="str">
        <x:v>Used to frame finance-close pain points and enterprise reconciliation tooling context.</x:v>
      </x:c>
    </x:row>
    <x:row r="7">
      <x:c r="A7" s="58" t="str">
        <x:v>Operations controls</x:v>
      </x:c>
      <x:c r="B7" s="59" t="str">
        <x:v>Business process automation in 2026: exception discipline and clear controls</x:v>
      </x:c>
      <x:c r="C7" s="59" t="str">
        <x:v>https://ardem.com/bpo/business-process-automation-services-fix-workflow-errors/</x:v>
      </x:c>
      <x:c r="D7" s="60" t="str">
        <x:v>Used to frame exception discipline, ownership and audit evidence.</x:v>
      </x:c>
    </x:row>
  </x:sheetData>
  <x:mergeCells>
    <x:mergeCell ref="A1:D1"/>
    <x:mergeCell ref="A2:D2"/>
  </x:mergeCells>
  <x:pageMargins left="0.7" right="0.7" top="0.75" bottom="0.75" header="0.3" footer="0.3"/>
</x:worksheet>
</file>