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ee5a79fd5741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ed502fce98f4743"/>
    <x:sheet xmlns:r="http://schemas.openxmlformats.org/officeDocument/2006/relationships" name="Assumptions" sheetId="2" r:id="R562d2e8fab054284"/>
    <x:sheet xmlns:r="http://schemas.openxmlformats.org/officeDocument/2006/relationships" name="Raw_Data" sheetId="3" r:id="R0e5f763f7cd14c04"/>
    <x:sheet xmlns:r="http://schemas.openxmlformats.org/officeDocument/2006/relationships" name="Dashboard" sheetId="4" r:id="Rbff04820ba124b0a"/>
    <x:sheet xmlns:r="http://schemas.openxmlformats.org/officeDocument/2006/relationships" name="RCA" sheetId="5" r:id="Rb0defa00c0824210"/>
    <x:sheet xmlns:r="http://schemas.openxmlformats.org/officeDocument/2006/relationships" name="Improvement_Plan" sheetId="6" r:id="R5d671941e4a743e3"/>
    <x:sheet xmlns:r="http://schemas.openxmlformats.org/officeDocument/2006/relationships" name="Sources" sheetId="7" r:id="R4feaadda1faf47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0"/>
    <x:numFmt numFmtId="202" formatCode="₹#,##0"/>
    <x:numFmt numFmtId="203" formatCode="yyyy-mm-dd"/>
    <x:numFmt numFmtId="204" formatCode="0.0"/>
    <x:numFmt numFmtId="205" formatCode="#,##0"/>
  </x:numFmts>
  <x:fonts count="6">
    <x:font>
      <x:sz val="11"/>
      <x:name val="Carlito"/>
    </x:font>
    <x:font>
      <x:b/>
      <x:sz val="14"/>
      <x:color rgb="FFFFFF"/>
      <x:name val="Carlito"/>
    </x:font>
    <x:font>
      <x:i/>
      <x:sz val="10"/>
      <x:color rgb="475569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1"/>
      <x:color rgb="0F17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8FAFC"/>
      </x:patternFill>
    </x:fill>
    <x:fill>
      <x:patternFill patternType="solid">
        <x:fgColor rgb="1D4ED8"/>
      </x:patternFill>
    </x:fill>
    <x:fill>
      <x:patternFill patternType="solid">
        <x:fgColor rgb="E0F2FE"/>
      </x:patternFill>
    </x:fill>
  </x:fills>
  <x:borders count="20">
    <x:border/>
    <x:border/>
    <x:border>
      <x:right>
        <x:color rgb="CBD5E1"/>
      </x:right>
      <x:bottom>
        <x:color rgb="CBD5E1"/>
      </x:bottom>
    </x:border>
    <x:border>
      <x:left>
        <x:color rgb="CBD5E1"/>
      </x:left>
      <x:right>
        <x:color rgb="CBD5E1"/>
      </x:right>
      <x:bottom>
        <x:color rgb="CBD5E1"/>
      </x:bottom>
    </x:border>
    <x:border>
      <x:left>
        <x:color rgb="CBD5E1"/>
      </x:left>
      <x:bottom>
        <x:color rgb="CBD5E1"/>
      </x:bottom>
    </x:border>
    <x:border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top>
        <x:color rgb="CBD5E1"/>
      </x:top>
      <x:bottom>
        <x:color rgb="CBD5E1"/>
      </x:bottom>
    </x:border>
    <x:border>
      <x:right>
        <x:color rgb="CBD5E1"/>
      </x:right>
      <x:top>
        <x:color rgb="CBD5E1"/>
      </x:top>
    </x:border>
    <x:border>
      <x:left>
        <x:color rgb="CBD5E1"/>
      </x:left>
      <x:right>
        <x:color rgb="CBD5E1"/>
      </x:right>
      <x:top>
        <x:color rgb="CBD5E1"/>
      </x:top>
    </x:border>
    <x:border>
      <x:left>
        <x:color rgb="CBD5E1"/>
      </x:left>
      <x:top>
        <x:color rgb="CBD5E1"/>
      </x:top>
    </x:border>
    <x:border>
      <x:right>
        <x:color rgb="CBD5E1"/>
      </x:right>
      <x:bottom>
        <x:color rgb="CBD5E1"/>
      </x:bottom>
    </x:border>
    <x:border>
      <x:left>
        <x:color rgb="CBD5E1"/>
      </x:left>
      <x:right>
        <x:color rgb="CBD5E1"/>
      </x:right>
      <x:bottom>
        <x:color rgb="CBD5E1"/>
      </x:bottom>
    </x:border>
    <x:border>
      <x:left>
        <x:color rgb="CBD5E1"/>
      </x:left>
      <x:bottom>
        <x:color rgb="CBD5E1"/>
      </x:bottom>
    </x:border>
    <x:border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top>
        <x:color rgb="CBD5E1"/>
      </x:top>
      <x:bottom>
        <x:color rgb="CBD5E1"/>
      </x:bottom>
    </x:border>
    <x:border>
      <x:right>
        <x:color rgb="CBD5E1"/>
      </x:right>
      <x:top>
        <x:color rgb="CBD5E1"/>
      </x:top>
    </x:border>
    <x:border>
      <x:left>
        <x:color rgb="CBD5E1"/>
      </x:left>
      <x:right>
        <x:color rgb="CBD5E1"/>
      </x:right>
      <x:top>
        <x:color rgb="CBD5E1"/>
      </x:top>
    </x:border>
    <x:border>
      <x:left>
        <x:color rgb="CBD5E1"/>
      </x:left>
      <x:top>
        <x:color rgb="CBD5E1"/>
      </x:top>
    </x:border>
  </x:borders>
  <x:cellStyleXfs count="1">
    <x:xf numFmtId="0" fontId="0" fillId="0" borderId="0"/>
  </x:cellStyleXfs>
  <x:cellXfs count="1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2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0" fontId="0" fillId="0" borderId="18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201" fontId="0" fillId="0" borderId="6" xfId="0" applyNumberFormat="1" applyFont="1" applyFill="1" applyBorder="1" applyAlignment="1">
      <x:alignment vertical="top" wrapText="1"/>
    </x:xf>
    <x:xf numFmtId="201" fontId="0" fillId="0" borderId="15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5" fontId="0" fillId="0" borderId="3" xfId="0" applyNumberFormat="1" applyFont="1" applyFill="1" applyBorder="1" applyAlignment="1">
      <x:alignment vertical="top" wrapText="1"/>
    </x:xf>
    <x:xf numFmtId="205" fontId="0" fillId="0" borderId="12" xfId="0" applyNumberFormat="1" applyFont="1" applyFill="1" applyBorder="1" applyAlignment="1">
      <x:alignment vertical="top" wrapText="1"/>
    </x:xf>
    <x:xf numFmtId="204" fontId="0" fillId="0" borderId="6" xfId="0" applyNumberFormat="1" applyFont="1" applyFill="1" applyBorder="1" applyAlignment="1">
      <x:alignment vertical="top" wrapText="1"/>
    </x:xf>
    <x:xf numFmtId="204" fontId="0" fillId="0" borderId="15" xfId="0" applyNumberFormat="1" applyFont="1" applyFill="1" applyBorder="1" applyAlignment="1">
      <x:alignment vertical="top" wrapText="1"/>
    </x:xf>
    <x:xf numFmtId="205" fontId="0" fillId="0" borderId="6" xfId="0" applyNumberFormat="1" applyFont="1" applyFill="1" applyBorder="1" applyAlignment="1">
      <x:alignment vertical="top" wrapText="1"/>
    </x:xf>
    <x:xf numFmtId="205" fontId="0" fillId="0" borderId="15" xfId="0" applyNumberFormat="1" applyFont="1" applyFill="1" applyBorder="1" applyAlignment="1">
      <x:alignment vertical="top" wrapText="1"/>
    </x:xf>
    <x:xf numFmtId="205" fontId="0" fillId="0" borderId="9" xfId="0" applyNumberFormat="1" applyFont="1" applyFill="1" applyBorder="1" applyAlignment="1">
      <x:alignment vertical="top" wrapText="1"/>
    </x:xf>
    <x:xf numFmtId="205" fontId="0" fillId="0" borderId="18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5" fontId="0" fillId="0" borderId="3" xfId="0" applyNumberFormat="1" applyFont="1" applyFill="1" applyBorder="1"/>
    <x:xf numFmtId="200" fontId="0" fillId="0" borderId="3" xfId="0" applyNumberFormat="1" applyFont="1" applyFill="1" applyBorder="1"/>
    <x:xf numFmtId="204" fontId="0" fillId="0" borderId="3" xfId="0" applyNumberFormat="1" applyFont="1" applyFill="1" applyBorder="1"/>
    <x:xf numFmtId="201" fontId="0" fillId="0" borderId="4" xfId="0" applyNumberFormat="1" applyFont="1" applyFill="1" applyBorder="1"/>
    <x:xf numFmtId="205" fontId="0" fillId="0" borderId="6" xfId="0" applyNumberFormat="1" applyFont="1" applyFill="1" applyBorder="1"/>
    <x:xf numFmtId="200" fontId="0" fillId="0" borderId="6" xfId="0" applyNumberFormat="1" applyFont="1" applyFill="1" applyBorder="1"/>
    <x:xf numFmtId="204" fontId="0" fillId="0" borderId="6" xfId="0" applyNumberFormat="1" applyFont="1" applyFill="1" applyBorder="1"/>
    <x:xf numFmtId="201" fontId="0" fillId="0" borderId="7" xfId="0" applyNumberFormat="1" applyFont="1" applyFill="1" applyBorder="1"/>
    <x:xf numFmtId="205" fontId="0" fillId="0" borderId="9" xfId="0" applyNumberFormat="1" applyFont="1" applyFill="1" applyBorder="1"/>
    <x:xf numFmtId="200" fontId="0" fillId="0" borderId="9" xfId="0" applyNumberFormat="1" applyFont="1" applyFill="1" applyBorder="1"/>
    <x:xf numFmtId="204" fontId="0" fillId="0" borderId="9" xfId="0" applyNumberFormat="1" applyFont="1" applyFill="1" applyBorder="1"/>
    <x:xf numFmtId="201" fontId="0" fillId="0" borderId="10" xfId="0" applyNumberFormat="1" applyFont="1" applyFill="1" applyBorder="1"/>
    <x:xf numFmtId="205" fontId="0" fillId="0" borderId="12" xfId="0" applyNumberFormat="1" applyFont="1" applyFill="1" applyBorder="1"/>
    <x:xf numFmtId="200" fontId="0" fillId="0" borderId="12" xfId="0" applyNumberFormat="1" applyFont="1" applyFill="1" applyBorder="1"/>
    <x:xf numFmtId="204" fontId="0" fillId="0" borderId="12" xfId="0" applyNumberFormat="1" applyFont="1" applyFill="1" applyBorder="1"/>
    <x:xf numFmtId="201" fontId="0" fillId="0" borderId="13" xfId="0" applyNumberFormat="1" applyFont="1" applyFill="1" applyBorder="1"/>
    <x:xf numFmtId="205" fontId="0" fillId="0" borderId="15" xfId="0" applyNumberFormat="1" applyFont="1" applyFill="1" applyBorder="1"/>
    <x:xf numFmtId="200" fontId="0" fillId="0" borderId="15" xfId="0" applyNumberFormat="1" applyFont="1" applyFill="1" applyBorder="1"/>
    <x:xf numFmtId="204" fontId="0" fillId="0" borderId="15" xfId="0" applyNumberFormat="1" applyFont="1" applyFill="1" applyBorder="1"/>
    <x:xf numFmtId="201" fontId="0" fillId="0" borderId="16" xfId="0" applyNumberFormat="1" applyFont="1" applyFill="1" applyBorder="1"/>
    <x:xf numFmtId="205" fontId="0" fillId="0" borderId="18" xfId="0" applyNumberFormat="1" applyFont="1" applyFill="1" applyBorder="1"/>
    <x:xf numFmtId="200" fontId="0" fillId="0" borderId="18" xfId="0" applyNumberFormat="1" applyFont="1" applyFill="1" applyBorder="1"/>
    <x:xf numFmtId="204" fontId="0" fillId="0" borderId="18" xfId="0" applyNumberFormat="1" applyFont="1" applyFill="1" applyBorder="1"/>
    <x:xf numFmtId="201" fontId="0" fillId="0" borderId="19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623ec693894c05" /><Relationship Type="http://schemas.openxmlformats.org/officeDocument/2006/relationships/theme" Target="/xl/theme/theme1.xml" Id="Re0326b3aae854f9e" /><Relationship Type="http://schemas.openxmlformats.org/officeDocument/2006/relationships/sharedStrings" Target="/xl/sharedStrings.xml" Id="R05bc80b9ad4a4f3b" /><Relationship Type="http://schemas.openxmlformats.org/officeDocument/2006/relationships/worksheet" Target="/xl/worksheets/sheet1.xml" Id="R6ed502fce98f4743" /><Relationship Type="http://schemas.openxmlformats.org/officeDocument/2006/relationships/worksheet" Target="/xl/worksheets/sheet2.xml" Id="R562d2e8fab054284" /><Relationship Type="http://schemas.openxmlformats.org/officeDocument/2006/relationships/worksheet" Target="/xl/worksheets/sheet3.xml" Id="R0e5f763f7cd14c04" /><Relationship Type="http://schemas.openxmlformats.org/officeDocument/2006/relationships/worksheet" Target="/xl/worksheets/sheet4.xml" Id="Rbff04820ba124b0a" /><Relationship Type="http://schemas.openxmlformats.org/officeDocument/2006/relationships/worksheet" Target="/xl/worksheets/sheet5.xml" Id="Rb0defa00c0824210" /><Relationship Type="http://schemas.openxmlformats.org/officeDocument/2006/relationships/worksheet" Target="/xl/worksheets/sheet6.xml" Id="R5d671941e4a743e3" /><Relationship Type="http://schemas.openxmlformats.org/officeDocument/2006/relationships/worksheet" Target="/xl/worksheets/sheet7.xml" Id="R4feaadda1faf470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cb31d8f248c4c6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Team Volume and SLA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Volume</c:v>
          </c:tx>
          <c:cat>
            <c:strRef>
              <c:f>'Dashboard'!$F$5:$F$10</c:f>
              <c:strCache>
                <c:ptCount val="0"/>
              </c:strCache>
            </c:strRef>
          </c:cat>
          <c:val>
            <c:numRef>
              <c:f>'Dashboard'!$G$5:$G$10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SLA %</c:v>
          </c:tx>
          <c:cat>
            <c:strRef>
              <c:f>'Dashboard'!$F$5:$F$10</c:f>
              <c:strCache>
                <c:ptCount val="0"/>
              </c:strCache>
            </c:strRef>
          </c:cat>
          <c:val>
            <c:numRef>
              <c:f>'Dashboard'!$H$5:$H$10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11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b31d8f248c4c6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psRawTable" displayName="OpsRawTable" ref="A4:N76" headerRowCount="1">
  <x:tableColumns count="14">
    <x:tableColumn id="1" name="Week"/>
    <x:tableColumn id="2" name="Team"/>
    <x:tableColumn id="3" name="Channel"/>
    <x:tableColumn id="4" name="Case Volume"/>
    <x:tableColumn id="5" name="Cases On Time"/>
    <x:tableColumn id="6" name="Avg TAT Hrs"/>
    <x:tableColumn id="7" name="Backlog"/>
    <x:tableColumn id="8" name="Backlog Avg Age Hrs"/>
    <x:tableColumn id="9" name="Rework Cases"/>
    <x:tableColumn id="10" name="Escalations"/>
    <x:tableColumn id="11" name="Agents"/>
    <x:tableColumn id="12" name="Cases per Agent"/>
    <x:tableColumn id="13" name="SLA %"/>
    <x:tableColumn id="14" name="Risk Fla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455aaae782b4e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394d73a6791b4bb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28" customHeight="1">
      <x:c r="A1" s="5" t="str">
        <x:v>Operations Control Tower Dashboard — SLA, TAT and Backlog Monitoring</x:v>
      </x:c>
      <x:c r="B1" s="5"/>
      <x:c r="C1" s="5"/>
      <x:c r="D1" s="5"/>
      <x:c r="E1" s="5"/>
      <x:c r="F1" s="5"/>
      <x:c r="G1" s="5"/>
      <x:c r="H1" s="5"/>
    </x:row>
    <x:row r="2" ht="22" customHeight="1">
      <x:c r="A2" s="13" t="str">
        <x:v>Portfolio project for Analytics &amp; Operations domain. No resume-bullet section included.</x:v>
      </x:c>
      <x:c r="B2" s="13"/>
      <x:c r="C2" s="13"/>
      <x:c r="D2" s="13"/>
      <x:c r="E2" s="13"/>
      <x:c r="F2" s="13"/>
      <x:c r="G2" s="13"/>
      <x:c r="H2" s="13"/>
    </x:row>
    <x:row r="4" ht="24" customHeight="1">
      <x:c r="A4" s="22" t="str">
        <x:v>Section</x:v>
      </x:c>
      <x:c r="B4" s="22" t="str">
        <x:v>Content</x:v>
      </x:c>
    </x:row>
    <x:row r="5">
      <x:c r="A5" s="31" t="str">
        <x:v>Business problem</x:v>
      </x:c>
      <x:c r="B5" s="28" t="str">
        <x:v>Operations teams struggle to see weekly SLA risk, queue backlog, exception load and productivity by team.
Leadership needs a control tower that highlights bottlenecks, outlier teams and redesign opportunities.</x:v>
      </x:c>
    </x:row>
    <x:row r="6">
      <x:c r="A6" s="31" t="str">
        <x:v>Portfolio deliverables</x:v>
      </x:c>
      <x:c r="B6" s="28" t="str">
        <x:v>Synthetic weekly operations dataset across teams and channels.
Formula-driven KPI dashboard with SLA, TAT, backlog, rework and escalation metrics.
Root-cause analysis and process improvement plan with impact estimates.
Source sheet with current operations/automation context.</x:v>
      </x:c>
    </x:row>
    <x:row r="7">
      <x:c r="A7" s="31" t="str">
        <x:v>Target roles</x:v>
      </x:c>
      <x:c r="B7" s="28" t="str">
        <x:v>Business Analyst
Operations Analyst
Data Analyst
Risk Operations Analyst
Product Operations Analyst</x:v>
      </x:c>
    </x:row>
    <x:row r="8">
      <x:c r="A8" s="31" t="str">
        <x:v>Data privacy</x:v>
      </x:c>
      <x:c r="B8" s="28" t="str">
        <x:v>All data is synthetic. No customer, employee, candidate, or transaction PII is used.</x:v>
      </x:c>
    </x:row>
    <x:row r="9">
      <x:c r="A9" s="31" t="str">
        <x:v>Source context</x:v>
      </x:c>
      <x:c r="B9" s="28" t="str">
        <x:v>Business process automation should measure exceptions, rework loops, cycle-time variance and controls, not only automation coverage.
Capacity planning and dashboards help spot bottlenecks, utilization issues and resource gaps.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2" hidden="0" customWidth="1"/>
    <x:col min="4" max="4" width="48" hidden="0" customWidth="1"/>
    <x:col min="5" max="5" width="12" hidden="0" customWidth="1"/>
    <x:col min="6" max="6" width="40" hidden="0" customWidth="1"/>
  </x:cols>
  <x:sheetData>
    <x:row r="1" ht="28" customHeight="1">
      <x:c r="A1" s="5" t="str">
        <x:v>Model Assumptions</x:v>
      </x:c>
      <x:c r="B1" s="5"/>
      <x:c r="C1" s="5"/>
      <x:c r="D1" s="5"/>
      <x:c r="E1" s="5"/>
      <x:c r="F1" s="5"/>
    </x:row>
    <x:row r="2" ht="22" customHeight="1">
      <x:c r="A2" s="13" t="str">
        <x:v>Editable assumptions driving SLA and capacity interpretation.</x:v>
      </x:c>
      <x:c r="B2" s="13"/>
      <x:c r="C2" s="13"/>
      <x:c r="D2" s="13"/>
      <x:c r="E2" s="13"/>
      <x:c r="F2" s="13"/>
    </x:row>
    <x:row r="4" ht="24" customHeight="1">
      <x:c r="A4" s="22" t="str">
        <x:v>Metric</x:v>
      </x:c>
      <x:c r="B4" s="22" t="str">
        <x:v>Value</x:v>
      </x:c>
      <x:c r="C4" s="22" t="str">
        <x:v>Unit</x:v>
      </x:c>
      <x:c r="D4" s="22" t="str">
        <x:v>Interpretation</x:v>
      </x:c>
      <x:c r="E4" s="22" t="str">
        <x:v>Editable?</x:v>
      </x:c>
      <x:c r="F4" s="22" t="str">
        <x:v>Notes</x:v>
      </x:c>
    </x:row>
    <x:row r="5">
      <x:c r="A5" s="52" t="str">
        <x:v>Target SLA adherence</x:v>
      </x:c>
      <x:c r="B5" s="88" t="n">
        <x:v>0.9</x:v>
      </x:c>
      <x:c r="C5" s="53" t="str">
        <x:v>%</x:v>
      </x:c>
      <x:c r="D5" s="53" t="str">
        <x:v>Minimum acceptable on-time completion rate</x:v>
      </x:c>
      <x:c r="E5" s="53" t="str">
        <x:v>Yes</x:v>
      </x:c>
      <x:c r="F5" s="54" t="str">
        <x:v>Below target triggers amber/red status</x:v>
      </x:c>
    </x:row>
    <x:row r="6">
      <x:c r="A6" s="55" t="str">
        <x:v>Target Avg TAT</x:v>
      </x:c>
      <x:c r="B6" s="96" t="n">
        <x:v>24</x:v>
      </x:c>
      <x:c r="C6" s="56" t="str">
        <x:v>Hours</x:v>
      </x:c>
      <x:c r="D6" s="56" t="str">
        <x:v>Expected average turnaround time per case</x:v>
      </x:c>
      <x:c r="E6" s="56" t="str">
        <x:v>Yes</x:v>
      </x:c>
      <x:c r="F6" s="57" t="str">
        <x:v>Used to flag cycle-time risk</x:v>
      </x:c>
    </x:row>
    <x:row r="7">
      <x:c r="A7" s="55" t="str">
        <x:v>Backlog aging risk threshold</x:v>
      </x:c>
      <x:c r="B7" s="96" t="n">
        <x:v>72</x:v>
      </x:c>
      <x:c r="C7" s="56" t="str">
        <x:v>Hours</x:v>
      </x:c>
      <x:c r="D7" s="56" t="str">
        <x:v>Average backlog age above this is high risk</x:v>
      </x:c>
      <x:c r="E7" s="56" t="str">
        <x:v>Yes</x:v>
      </x:c>
      <x:c r="F7" s="57" t="str">
        <x:v>Queue redesign or staffing action needed</x:v>
      </x:c>
    </x:row>
    <x:row r="8">
      <x:c r="A8" s="55" t="str">
        <x:v>Rework risk threshold</x:v>
      </x:c>
      <x:c r="B8" s="89" t="n">
        <x:v>0.08</x:v>
      </x:c>
      <x:c r="C8" s="56" t="str">
        <x:v>%</x:v>
      </x:c>
      <x:c r="D8" s="56" t="str">
        <x:v>Cases requiring repeat handling</x:v>
      </x:c>
      <x:c r="E8" s="56" t="str">
        <x:v>Yes</x:v>
      </x:c>
      <x:c r="F8" s="57" t="str">
        <x:v>Proxy for quality/process defects</x:v>
      </x:c>
    </x:row>
    <x:row r="9">
      <x:c r="A9" s="55" t="str">
        <x:v>Escalation risk threshold</x:v>
      </x:c>
      <x:c r="B9" s="89" t="n">
        <x:v>0.1</x:v>
      </x:c>
      <x:c r="C9" s="56" t="str">
        <x:v>%</x:v>
      </x:c>
      <x:c r="D9" s="56" t="str">
        <x:v>Share of cases escalated to senior team</x:v>
      </x:c>
      <x:c r="E9" s="56" t="str">
        <x:v>Yes</x:v>
      </x:c>
      <x:c r="F9" s="57" t="str">
        <x:v>Proxy for complexity and SOP gaps</x:v>
      </x:c>
    </x:row>
    <x:row r="10">
      <x:c r="A10" s="58" t="str">
        <x:v>Cost per case baseline</x:v>
      </x:c>
      <x:c r="B10" s="90" t="n">
        <x:v>95</x:v>
      </x:c>
      <x:c r="C10" s="59" t="str">
        <x:v>INR</x:v>
      </x:c>
      <x:c r="D10" s="59" t="str">
        <x:v>Baseline cost per case for impact sizing</x:v>
      </x:c>
      <x:c r="E10" s="59" t="str">
        <x:v>Yes</x:v>
      </x:c>
      <x:c r="F10" s="60" t="str">
        <x:v>Synthetic assumption</x:v>
      </x:c>
    </x:row>
    <x:row r="11">
      <x:c r="B11" s="98"/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8" customHeight="1">
      <x:c r="A1" s="5" t="str">
        <x:v>Weekly Operations Data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2" customHeight="1">
      <x:c r="A2" s="13" t="str">
        <x:v>Synthetic case volume, SLA, TAT, backlog and productivity by team.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24" customHeight="1">
      <x:c r="A4" s="22" t="str">
        <x:v>Week</x:v>
      </x:c>
      <x:c r="B4" s="22" t="str">
        <x:v>Team</x:v>
      </x:c>
      <x:c r="C4" s="22" t="str">
        <x:v>Channel</x:v>
      </x:c>
      <x:c r="D4" s="22" t="str">
        <x:v>Case Volume</x:v>
      </x:c>
      <x:c r="E4" s="22" t="str">
        <x:v>Cases On Time</x:v>
      </x:c>
      <x:c r="F4" s="22" t="str">
        <x:v>Avg TAT Hrs</x:v>
      </x:c>
      <x:c r="G4" s="22" t="str">
        <x:v>Backlog</x:v>
      </x:c>
      <x:c r="H4" s="22" t="str">
        <x:v>Backlog Avg Age Hrs</x:v>
      </x:c>
      <x:c r="I4" s="22" t="str">
        <x:v>Rework Cases</x:v>
      </x:c>
      <x:c r="J4" s="22" t="str">
        <x:v>Escalations</x:v>
      </x:c>
      <x:c r="K4" s="22" t="str">
        <x:v>Agents</x:v>
      </x:c>
      <x:c r="L4" s="22" t="str">
        <x:v>Cases per Agent</x:v>
      </x:c>
      <x:c r="M4" s="22" t="str">
        <x:v>SLA %</x:v>
      </x:c>
      <x:c r="N4" s="22" t="str">
        <x:v>Risk Flag</x:v>
      </x:c>
    </x:row>
    <x:row r="5">
      <x:c r="A5" s="100" t="n">
        <x:v>46027</x:v>
      </x:c>
      <x:c r="B5" t="str">
        <x:v>KYC Ops</x:v>
      </x:c>
      <x:c r="C5" t="str">
        <x:v>Internal Queue</x:v>
      </x:c>
      <x:c r="D5" s="104" t="n">
        <x:v>1040</x:v>
      </x:c>
      <x:c r="E5" s="104" t="n">
        <x:v>960</x:v>
      </x:c>
      <x:c r="F5" s="102" t="n">
        <x:v>20.9</x:v>
      </x:c>
      <x:c r="G5" s="102" t="n">
        <x:v>70</x:v>
      </x:c>
      <x:c r="H5" s="102" t="n">
        <x:v>78.6</x:v>
      </x:c>
      <x:c r="I5" s="102" t="n">
        <x:v>97</x:v>
      </x:c>
      <x:c r="J5" s="102" t="n">
        <x:v>134</x:v>
      </x:c>
      <x:c r="K5" s="104" t="n">
        <x:v>14</x:v>
      </x:c>
      <x:c r="L5" s="102" t="n">
        <x:f>D5/K5</x:f>
        <x:v>74.28571428571429</x:v>
      </x:c>
      <x:c r="M5" s="91" t="n">
        <x:f>E5/D5</x:f>
        <x:v>0.9230769230769231</x:v>
      </x:c>
      <x:c r="N5" t="str">
        <x:f>IF(OR(M5&lt;Assumptions!$B$5,F5&gt;Assumptions!$B$6,H5&gt;Assumptions!$B$7),"At Risk","On Track")</x:f>
        <x:v>At Risk</x:v>
      </x:c>
    </x:row>
    <x:row r="6">
      <x:c r="A6" s="100" t="n">
        <x:v>46027</x:v>
      </x:c>
      <x:c r="B6" t="str">
        <x:v>Payments Ops</x:v>
      </x:c>
      <x:c r="C6" t="str">
        <x:v>Email</x:v>
      </x:c>
      <x:c r="D6" s="104" t="n">
        <x:v>665</x:v>
      </x:c>
      <x:c r="E6" s="104" t="n">
        <x:v>548</x:v>
      </x:c>
      <x:c r="F6" s="102" t="n">
        <x:v>28.4</x:v>
      </x:c>
      <x:c r="G6" s="102" t="n">
        <x:v>171</x:v>
      </x:c>
      <x:c r="H6" s="102" t="n">
        <x:v>106.3</x:v>
      </x:c>
      <x:c r="I6" s="102" t="n">
        <x:v>48</x:v>
      </x:c>
      <x:c r="J6" s="102" t="n">
        <x:v>56</x:v>
      </x:c>
      <x:c r="K6" s="104" t="n">
        <x:v>20</x:v>
      </x:c>
      <x:c r="L6" s="102" t="n">
        <x:f>D6/K6</x:f>
        <x:v>33.25</x:v>
      </x:c>
      <x:c r="M6" s="91" t="n">
        <x:f>E6/D6</x:f>
        <x:v>0.8240601503759398</x:v>
      </x:c>
      <x:c r="N6" t="str">
        <x:f>IF(OR(M6&lt;Assumptions!$B$5,F6&gt;Assumptions!$B$6,H6&gt;Assumptions!$B$7),"At Risk","On Track")</x:f>
        <x:v>At Risk</x:v>
      </x:c>
    </x:row>
    <x:row r="7">
      <x:c r="A7" s="100" t="n">
        <x:v>46027</x:v>
      </x:c>
      <x:c r="B7" t="str">
        <x:v>Customer Support</x:v>
      </x:c>
      <x:c r="C7" t="str">
        <x:v>Internal Queue</x:v>
      </x:c>
      <x:c r="D7" s="104" t="n">
        <x:v>1342</x:v>
      </x:c>
      <x:c r="E7" s="104" t="n">
        <x:v>1164</x:v>
      </x:c>
      <x:c r="F7" s="102" t="n">
        <x:v>30.8</x:v>
      </x:c>
      <x:c r="G7" s="102" t="n">
        <x:v>227</x:v>
      </x:c>
      <x:c r="H7" s="102" t="n">
        <x:v>53.1</x:v>
      </x:c>
      <x:c r="I7" s="102" t="n">
        <x:v>144</x:v>
      </x:c>
      <x:c r="J7" s="102" t="n">
        <x:v>134</x:v>
      </x:c>
      <x:c r="K7" s="104" t="n">
        <x:v>13</x:v>
      </x:c>
      <x:c r="L7" s="102" t="n">
        <x:f>D7/K7</x:f>
        <x:v>103.23076923076923</x:v>
      </x:c>
      <x:c r="M7" s="91" t="n">
        <x:f>E7/D7</x:f>
        <x:v>0.8673621460506706</x:v>
      </x:c>
      <x:c r="N7" t="str">
        <x:f>IF(OR(M7&lt;Assumptions!$B$5,F7&gt;Assumptions!$B$6,H7&gt;Assumptions!$B$7),"At Risk","On Track")</x:f>
        <x:v>At Risk</x:v>
      </x:c>
    </x:row>
    <x:row r="8">
      <x:c r="A8" s="100" t="n">
        <x:v>46027</x:v>
      </x:c>
      <x:c r="B8" t="str">
        <x:v>Risk Review</x:v>
      </x:c>
      <x:c r="C8" t="str">
        <x:v>Email</x:v>
      </x:c>
      <x:c r="D8" s="104" t="n">
        <x:v>1698</x:v>
      </x:c>
      <x:c r="E8" s="104" t="n">
        <x:v>1422</x:v>
      </x:c>
      <x:c r="F8" s="102" t="n">
        <x:v>39.1</x:v>
      </x:c>
      <x:c r="G8" s="102" t="n">
        <x:v>282</x:v>
      </x:c>
      <x:c r="H8" s="102" t="n">
        <x:v>97.2</x:v>
      </x:c>
      <x:c r="I8" s="102" t="n">
        <x:v>74</x:v>
      </x:c>
      <x:c r="J8" s="102" t="n">
        <x:v>106</x:v>
      </x:c>
      <x:c r="K8" s="104" t="n">
        <x:v>21</x:v>
      </x:c>
      <x:c r="L8" s="102" t="n">
        <x:f>D8/K8</x:f>
        <x:v>80.85714285714286</x:v>
      </x:c>
      <x:c r="M8" s="91" t="n">
        <x:f>E8/D8</x:f>
        <x:v>0.8374558303886925</x:v>
      </x:c>
      <x:c r="N8" t="str">
        <x:f>IF(OR(M8&lt;Assumptions!$B$5,F8&gt;Assumptions!$B$6,H8&gt;Assumptions!$B$7),"At Risk","On Track")</x:f>
        <x:v>At Risk</x:v>
      </x:c>
    </x:row>
    <x:row r="9">
      <x:c r="A9" s="100" t="n">
        <x:v>46027</x:v>
      </x:c>
      <x:c r="B9" t="str">
        <x:v>Finance Ops</x:v>
      </x:c>
      <x:c r="C9" t="str">
        <x:v>Chat</x:v>
      </x:c>
      <x:c r="D9" s="104" t="n">
        <x:v>1076</x:v>
      </x:c>
      <x:c r="E9" s="104" t="n">
        <x:v>1012</x:v>
      </x:c>
      <x:c r="F9" s="102" t="n">
        <x:v>23.6</x:v>
      </x:c>
      <x:c r="G9" s="102" t="n">
        <x:v>151</x:v>
      </x:c>
      <x:c r="H9" s="102" t="n">
        <x:v>72</x:v>
      </x:c>
      <x:c r="I9" s="102" t="n">
        <x:v>74</x:v>
      </x:c>
      <x:c r="J9" s="102" t="n">
        <x:v>82</x:v>
      </x:c>
      <x:c r="K9" s="104" t="n">
        <x:v>18</x:v>
      </x:c>
      <x:c r="L9" s="102" t="n">
        <x:f>D9/K9</x:f>
        <x:v>59.77777777777778</x:v>
      </x:c>
      <x:c r="M9" s="91" t="n">
        <x:f>E9/D9</x:f>
        <x:v>0.9405204460966543</x:v>
      </x:c>
      <x:c r="N9" t="str">
        <x:f>IF(OR(M9&lt;Assumptions!$B$5,F9&gt;Assumptions!$B$6,H9&gt;Assumptions!$B$7),"At Risk","On Track")</x:f>
        <x:v>On Track</x:v>
      </x:c>
    </x:row>
    <x:row r="10">
      <x:c r="A10" s="100" t="n">
        <x:v>46027</x:v>
      </x:c>
      <x:c r="B10" t="str">
        <x:v>Vendor Ops</x:v>
      </x:c>
      <x:c r="C10" t="str">
        <x:v>Portal</x:v>
      </x:c>
      <x:c r="D10" s="104" t="n">
        <x:v>746</x:v>
      </x:c>
      <x:c r="E10" s="104" t="n">
        <x:v>675</x:v>
      </x:c>
      <x:c r="F10" s="102" t="n">
        <x:v>19.4</x:v>
      </x:c>
      <x:c r="G10" s="102" t="n">
        <x:v>97</x:v>
      </x:c>
      <x:c r="H10" s="102" t="n">
        <x:v>40.8</x:v>
      </x:c>
      <x:c r="I10" s="102" t="n">
        <x:v>52</x:v>
      </x:c>
      <x:c r="J10" s="102" t="n">
        <x:v>103</x:v>
      </x:c>
      <x:c r="K10" s="104" t="n">
        <x:v>32</x:v>
      </x:c>
      <x:c r="L10" s="102" t="n">
        <x:f>D10/K10</x:f>
        <x:v>23.3125</x:v>
      </x:c>
      <x:c r="M10" s="91" t="n">
        <x:f>E10/D10</x:f>
        <x:v>0.9048257372654156</x:v>
      </x:c>
      <x:c r="N10" t="str">
        <x:f>IF(OR(M10&lt;Assumptions!$B$5,F10&gt;Assumptions!$B$6,H10&gt;Assumptions!$B$7),"At Risk","On Track")</x:f>
        <x:v>On Track</x:v>
      </x:c>
    </x:row>
    <x:row r="11">
      <x:c r="A11" s="100" t="n">
        <x:v>46034</x:v>
      </x:c>
      <x:c r="B11" t="str">
        <x:v>KYC Ops</x:v>
      </x:c>
      <x:c r="C11" t="str">
        <x:v>Internal Queue</x:v>
      </x:c>
      <x:c r="D11" s="104" t="n">
        <x:v>1492</x:v>
      </x:c>
      <x:c r="E11" s="104" t="n">
        <x:v>1271</x:v>
      </x:c>
      <x:c r="F11" s="102" t="n">
        <x:v>23.2</x:v>
      </x:c>
      <x:c r="G11" s="102" t="n">
        <x:v>199</x:v>
      </x:c>
      <x:c r="H11" s="102" t="n">
        <x:v>77.8</x:v>
      </x:c>
      <x:c r="I11" s="102" t="n">
        <x:v>164</x:v>
      </x:c>
      <x:c r="J11" s="102" t="n">
        <x:v>106</x:v>
      </x:c>
      <x:c r="K11" s="104" t="n">
        <x:v>32</x:v>
      </x:c>
      <x:c r="L11" s="102" t="n">
        <x:f>D11/K11</x:f>
        <x:v>46.625</x:v>
      </x:c>
      <x:c r="M11" s="91" t="n">
        <x:f>E11/D11</x:f>
        <x:v>0.8518766756032171</x:v>
      </x:c>
      <x:c r="N11" t="str">
        <x:f>IF(OR(M11&lt;Assumptions!$B$5,F11&gt;Assumptions!$B$6,H11&gt;Assumptions!$B$7),"At Risk","On Track")</x:f>
        <x:v>At Risk</x:v>
      </x:c>
    </x:row>
    <x:row r="12">
      <x:c r="A12" s="100" t="n">
        <x:v>46034</x:v>
      </x:c>
      <x:c r="B12" t="str">
        <x:v>Payments Ops</x:v>
      </x:c>
      <x:c r="C12" t="str">
        <x:v>Internal Queue</x:v>
      </x:c>
      <x:c r="D12" s="104" t="n">
        <x:v>1410</x:v>
      </x:c>
      <x:c r="E12" s="104" t="n">
        <x:v>1330</x:v>
      </x:c>
      <x:c r="F12" s="102" t="n">
        <x:v>28.9</x:v>
      </x:c>
      <x:c r="G12" s="102" t="n">
        <x:v>71</x:v>
      </x:c>
      <x:c r="H12" s="102" t="n">
        <x:v>47.5</x:v>
      </x:c>
      <x:c r="I12" s="102" t="n">
        <x:v>84</x:v>
      </x:c>
      <x:c r="J12" s="102" t="n">
        <x:v>135</x:v>
      </x:c>
      <x:c r="K12" s="104" t="n">
        <x:v>20</x:v>
      </x:c>
      <x:c r="L12" s="102" t="n">
        <x:f>D12/K12</x:f>
        <x:v>70.5</x:v>
      </x:c>
      <x:c r="M12" s="91" t="n">
        <x:f>E12/D12</x:f>
        <x:v>0.9432624113475178</x:v>
      </x:c>
      <x:c r="N12" t="str">
        <x:f>IF(OR(M12&lt;Assumptions!$B$5,F12&gt;Assumptions!$B$6,H12&gt;Assumptions!$B$7),"At Risk","On Track")</x:f>
        <x:v>At Risk</x:v>
      </x:c>
    </x:row>
    <x:row r="13">
      <x:c r="A13" s="100" t="n">
        <x:v>46034</x:v>
      </x:c>
      <x:c r="B13" t="str">
        <x:v>Customer Support</x:v>
      </x:c>
      <x:c r="C13" t="str">
        <x:v>Email</x:v>
      </x:c>
      <x:c r="D13" s="104" t="n">
        <x:v>1802</x:v>
      </x:c>
      <x:c r="E13" s="104" t="n">
        <x:v>1532</x:v>
      </x:c>
      <x:c r="F13" s="102" t="n">
        <x:v>44</x:v>
      </x:c>
      <x:c r="G13" s="102" t="n">
        <x:v>150</x:v>
      </x:c>
      <x:c r="H13" s="102" t="n">
        <x:v>86.8</x:v>
      </x:c>
      <x:c r="I13" s="102" t="n">
        <x:v>94</x:v>
      </x:c>
      <x:c r="J13" s="102" t="n">
        <x:v>100</x:v>
      </x:c>
      <x:c r="K13" s="104" t="n">
        <x:v>25</x:v>
      </x:c>
      <x:c r="L13" s="102" t="n">
        <x:f>D13/K13</x:f>
        <x:v>72.08</x:v>
      </x:c>
      <x:c r="M13" s="91" t="n">
        <x:f>E13/D13</x:f>
        <x:v>0.8501664816870145</x:v>
      </x:c>
      <x:c r="N13" t="str">
        <x:f>IF(OR(M13&lt;Assumptions!$B$5,F13&gt;Assumptions!$B$6,H13&gt;Assumptions!$B$7),"At Risk","On Track")</x:f>
        <x:v>At Risk</x:v>
      </x:c>
    </x:row>
    <x:row r="14">
      <x:c r="A14" s="100" t="n">
        <x:v>46034</x:v>
      </x:c>
      <x:c r="B14" t="str">
        <x:v>Risk Review</x:v>
      </x:c>
      <x:c r="C14" t="str">
        <x:v>Chat</x:v>
      </x:c>
      <x:c r="D14" s="104" t="n">
        <x:v>1388</x:v>
      </x:c>
      <x:c r="E14" s="104" t="n">
        <x:v>1212</x:v>
      </x:c>
      <x:c r="F14" s="102" t="n">
        <x:v>44.2</x:v>
      </x:c>
      <x:c r="G14" s="102" t="n">
        <x:v>258</x:v>
      </x:c>
      <x:c r="H14" s="102" t="n">
        <x:v>92.2</x:v>
      </x:c>
      <x:c r="I14" s="102" t="n">
        <x:v>153</x:v>
      </x:c>
      <x:c r="J14" s="102" t="n">
        <x:v>159</x:v>
      </x:c>
      <x:c r="K14" s="104" t="n">
        <x:v>32</x:v>
      </x:c>
      <x:c r="L14" s="102" t="n">
        <x:f>D14/K14</x:f>
        <x:v>43.375</x:v>
      </x:c>
      <x:c r="M14" s="91" t="n">
        <x:f>E14/D14</x:f>
        <x:v>0.8731988472622478</x:v>
      </x:c>
      <x:c r="N14" t="str">
        <x:f>IF(OR(M14&lt;Assumptions!$B$5,F14&gt;Assumptions!$B$6,H14&gt;Assumptions!$B$7),"At Risk","On Track")</x:f>
        <x:v>At Risk</x:v>
      </x:c>
    </x:row>
    <x:row r="15">
      <x:c r="A15" s="100" t="n">
        <x:v>46034</x:v>
      </x:c>
      <x:c r="B15" t="str">
        <x:v>Finance Ops</x:v>
      </x:c>
      <x:c r="C15" t="str">
        <x:v>Chat</x:v>
      </x:c>
      <x:c r="D15" s="104" t="n">
        <x:v>828</x:v>
      </x:c>
      <x:c r="E15" s="104" t="n">
        <x:v>712</x:v>
      </x:c>
      <x:c r="F15" s="102" t="n">
        <x:v>23.2</x:v>
      </x:c>
      <x:c r="G15" s="102" t="n">
        <x:v>366</x:v>
      </x:c>
      <x:c r="H15" s="102" t="n">
        <x:v>124.4</x:v>
      </x:c>
      <x:c r="I15" s="102" t="n">
        <x:v>66</x:v>
      </x:c>
      <x:c r="J15" s="102" t="n">
        <x:v>41</x:v>
      </x:c>
      <x:c r="K15" s="104" t="n">
        <x:v>32</x:v>
      </x:c>
      <x:c r="L15" s="102" t="n">
        <x:f>D15/K15</x:f>
        <x:v>25.875</x:v>
      </x:c>
      <x:c r="M15" s="91" t="n">
        <x:f>E15/D15</x:f>
        <x:v>0.8599033816425121</x:v>
      </x:c>
      <x:c r="N15" t="str">
        <x:f>IF(OR(M15&lt;Assumptions!$B$5,F15&gt;Assumptions!$B$6,H15&gt;Assumptions!$B$7),"At Risk","On Track")</x:f>
        <x:v>At Risk</x:v>
      </x:c>
    </x:row>
    <x:row r="16">
      <x:c r="A16" s="100" t="n">
        <x:v>46034</x:v>
      </x:c>
      <x:c r="B16" t="str">
        <x:v>Vendor Ops</x:v>
      </x:c>
      <x:c r="C16" t="str">
        <x:v>Chat</x:v>
      </x:c>
      <x:c r="D16" s="104" t="n">
        <x:v>1639</x:v>
      </x:c>
      <x:c r="E16" s="104" t="n">
        <x:v>1483</x:v>
      </x:c>
      <x:c r="F16" s="102" t="n">
        <x:v>19.1</x:v>
      </x:c>
      <x:c r="G16" s="102" t="n">
        <x:v>76</x:v>
      </x:c>
      <x:c r="H16" s="102" t="n">
        <x:v>65.6</x:v>
      </x:c>
      <x:c r="I16" s="102" t="n">
        <x:v>167</x:v>
      </x:c>
      <x:c r="J16" s="102" t="n">
        <x:v>152</x:v>
      </x:c>
      <x:c r="K16" s="104" t="n">
        <x:v>12</x:v>
      </x:c>
      <x:c r="L16" s="102" t="n">
        <x:f>D16/K16</x:f>
        <x:v>136.58333333333334</x:v>
      </x:c>
      <x:c r="M16" s="91" t="n">
        <x:f>E16/D16</x:f>
        <x:v>0.9048200122025626</x:v>
      </x:c>
      <x:c r="N16" t="str">
        <x:f>IF(OR(M16&lt;Assumptions!$B$5,F16&gt;Assumptions!$B$6,H16&gt;Assumptions!$B$7),"At Risk","On Track")</x:f>
        <x:v>On Track</x:v>
      </x:c>
    </x:row>
    <x:row r="17">
      <x:c r="A17" s="100" t="n">
        <x:v>46041</x:v>
      </x:c>
      <x:c r="B17" t="str">
        <x:v>KYC Ops</x:v>
      </x:c>
      <x:c r="C17" t="str">
        <x:v>Email</x:v>
      </x:c>
      <x:c r="D17" s="104" t="n">
        <x:v>1809</x:v>
      </x:c>
      <x:c r="E17" s="104" t="n">
        <x:v>1511</x:v>
      </x:c>
      <x:c r="F17" s="102" t="n">
        <x:v>35.1</x:v>
      </x:c>
      <x:c r="G17" s="102" t="n">
        <x:v>254</x:v>
      </x:c>
      <x:c r="H17" s="102" t="n">
        <x:v>66.4</x:v>
      </x:c>
      <x:c r="I17" s="102" t="n">
        <x:v>209</x:v>
      </x:c>
      <x:c r="J17" s="102" t="n">
        <x:v>87</x:v>
      </x:c>
      <x:c r="K17" s="104" t="n">
        <x:v>27</x:v>
      </x:c>
      <x:c r="L17" s="102" t="n">
        <x:f>D17/K17</x:f>
        <x:v>67</x:v>
      </x:c>
      <x:c r="M17" s="91" t="n">
        <x:f>E17/D17</x:f>
        <x:v>0.8352681039248203</x:v>
      </x:c>
      <x:c r="N17" t="str">
        <x:f>IF(OR(M17&lt;Assumptions!$B$5,F17&gt;Assumptions!$B$6,H17&gt;Assumptions!$B$7),"At Risk","On Track")</x:f>
        <x:v>At Risk</x:v>
      </x:c>
    </x:row>
    <x:row r="18">
      <x:c r="A18" s="100" t="n">
        <x:v>46041</x:v>
      </x:c>
      <x:c r="B18" t="str">
        <x:v>Payments Ops</x:v>
      </x:c>
      <x:c r="C18" t="str">
        <x:v>Internal Queue</x:v>
      </x:c>
      <x:c r="D18" s="104" t="n">
        <x:v>1690</x:v>
      </x:c>
      <x:c r="E18" s="104" t="n">
        <x:v>1566</x:v>
      </x:c>
      <x:c r="F18" s="102" t="n">
        <x:v>18.6</x:v>
      </x:c>
      <x:c r="G18" s="102" t="n">
        <x:v>156</x:v>
      </x:c>
      <x:c r="H18" s="102" t="n">
        <x:v>92.5</x:v>
      </x:c>
      <x:c r="I18" s="102" t="n">
        <x:v>89</x:v>
      </x:c>
      <x:c r="J18" s="102" t="n">
        <x:v>156</x:v>
      </x:c>
      <x:c r="K18" s="104" t="n">
        <x:v>31</x:v>
      </x:c>
      <x:c r="L18" s="102" t="n">
        <x:f>D18/K18</x:f>
        <x:v>54.516129032258064</x:v>
      </x:c>
      <x:c r="M18" s="91" t="n">
        <x:f>E18/D18</x:f>
        <x:v>0.9266272189349113</x:v>
      </x:c>
      <x:c r="N18" t="str">
        <x:f>IF(OR(M18&lt;Assumptions!$B$5,F18&gt;Assumptions!$B$6,H18&gt;Assumptions!$B$7),"At Risk","On Track")</x:f>
        <x:v>At Risk</x:v>
      </x:c>
    </x:row>
    <x:row r="19">
      <x:c r="A19" s="100" t="n">
        <x:v>46041</x:v>
      </x:c>
      <x:c r="B19" t="str">
        <x:v>Customer Support</x:v>
      </x:c>
      <x:c r="C19" t="str">
        <x:v>Internal Queue</x:v>
      </x:c>
      <x:c r="D19" s="104" t="n">
        <x:v>1509</x:v>
      </x:c>
      <x:c r="E19" s="104" t="n">
        <x:v>1396</x:v>
      </x:c>
      <x:c r="F19" s="102" t="n">
        <x:v>29.8</x:v>
      </x:c>
      <x:c r="G19" s="102" t="n">
        <x:v>217</x:v>
      </x:c>
      <x:c r="H19" s="102" t="n">
        <x:v>85.5</x:v>
      </x:c>
      <x:c r="I19" s="102" t="n">
        <x:v>138</x:v>
      </x:c>
      <x:c r="J19" s="102" t="n">
        <x:v>126</x:v>
      </x:c>
      <x:c r="K19" s="104" t="n">
        <x:v>28</x:v>
      </x:c>
      <x:c r="L19" s="102" t="n">
        <x:f>D19/K19</x:f>
        <x:v>53.892857142857146</x:v>
      </x:c>
      <x:c r="M19" s="91" t="n">
        <x:f>E19/D19</x:f>
        <x:v>0.925115970841617</x:v>
      </x:c>
      <x:c r="N19" t="str">
        <x:f>IF(OR(M19&lt;Assumptions!$B$5,F19&gt;Assumptions!$B$6,H19&gt;Assumptions!$B$7),"At Risk","On Track")</x:f>
        <x:v>At Risk</x:v>
      </x:c>
    </x:row>
    <x:row r="20">
      <x:c r="A20" s="100" t="n">
        <x:v>46041</x:v>
      </x:c>
      <x:c r="B20" t="str">
        <x:v>Risk Review</x:v>
      </x:c>
      <x:c r="C20" t="str">
        <x:v>Email</x:v>
      </x:c>
      <x:c r="D20" s="104" t="n">
        <x:v>847</x:v>
      </x:c>
      <x:c r="E20" s="104" t="n">
        <x:v>723</x:v>
      </x:c>
      <x:c r="F20" s="102" t="n">
        <x:v>21.4</x:v>
      </x:c>
      <x:c r="G20" s="102" t="n">
        <x:v>314</x:v>
      </x:c>
      <x:c r="H20" s="102" t="n">
        <x:v>84</x:v>
      </x:c>
      <x:c r="I20" s="102" t="n">
        <x:v>81</x:v>
      </x:c>
      <x:c r="J20" s="102" t="n">
        <x:v>38</x:v>
      </x:c>
      <x:c r="K20" s="104" t="n">
        <x:v>14</x:v>
      </x:c>
      <x:c r="L20" s="102" t="n">
        <x:f>D20/K20</x:f>
        <x:v>60.5</x:v>
      </x:c>
      <x:c r="M20" s="91" t="n">
        <x:f>E20/D20</x:f>
        <x:v>0.8536009445100354</x:v>
      </x:c>
      <x:c r="N20" t="str">
        <x:f>IF(OR(M20&lt;Assumptions!$B$5,F20&gt;Assumptions!$B$6,H20&gt;Assumptions!$B$7),"At Risk","On Track")</x:f>
        <x:v>At Risk</x:v>
      </x:c>
    </x:row>
    <x:row r="21">
      <x:c r="A21" s="100" t="n">
        <x:v>46041</x:v>
      </x:c>
      <x:c r="B21" t="str">
        <x:v>Finance Ops</x:v>
      </x:c>
      <x:c r="C21" t="str">
        <x:v>Internal Queue</x:v>
      </x:c>
      <x:c r="D21" s="104" t="n">
        <x:v>1276</x:v>
      </x:c>
      <x:c r="E21" s="104" t="n">
        <x:v>1058</x:v>
      </x:c>
      <x:c r="F21" s="102" t="n">
        <x:v>30.1</x:v>
      </x:c>
      <x:c r="G21" s="102" t="n">
        <x:v>307</x:v>
      </x:c>
      <x:c r="H21" s="102" t="n">
        <x:v>72.4</x:v>
      </x:c>
      <x:c r="I21" s="102" t="n">
        <x:v>109</x:v>
      </x:c>
      <x:c r="J21" s="102" t="n">
        <x:v>111</x:v>
      </x:c>
      <x:c r="K21" s="104" t="n">
        <x:v>27</x:v>
      </x:c>
      <x:c r="L21" s="102" t="n">
        <x:f>D21/K21</x:f>
        <x:v>47.25925925925926</x:v>
      </x:c>
      <x:c r="M21" s="91" t="n">
        <x:f>E21/D21</x:f>
        <x:v>0.829153605015674</x:v>
      </x:c>
      <x:c r="N21" t="str">
        <x:f>IF(OR(M21&lt;Assumptions!$B$5,F21&gt;Assumptions!$B$6,H21&gt;Assumptions!$B$7),"At Risk","On Track")</x:f>
        <x:v>At Risk</x:v>
      </x:c>
    </x:row>
    <x:row r="22">
      <x:c r="A22" s="100" t="n">
        <x:v>46041</x:v>
      </x:c>
      <x:c r="B22" t="str">
        <x:v>Vendor Ops</x:v>
      </x:c>
      <x:c r="C22" t="str">
        <x:v>Internal Queue</x:v>
      </x:c>
      <x:c r="D22" s="104" t="n">
        <x:v>989</x:v>
      </x:c>
      <x:c r="E22" s="104" t="n">
        <x:v>824</x:v>
      </x:c>
      <x:c r="F22" s="102" t="n">
        <x:v>36</x:v>
      </x:c>
      <x:c r="G22" s="102" t="n">
        <x:v>339</x:v>
      </x:c>
      <x:c r="H22" s="102" t="n">
        <x:v>103.1</x:v>
      </x:c>
      <x:c r="I22" s="102" t="n">
        <x:v>91</x:v>
      </x:c>
      <x:c r="J22" s="102" t="n">
        <x:v>103</x:v>
      </x:c>
      <x:c r="K22" s="104" t="n">
        <x:v>13</x:v>
      </x:c>
      <x:c r="L22" s="102" t="n">
        <x:f>D22/K22</x:f>
        <x:v>76.07692307692308</x:v>
      </x:c>
      <x:c r="M22" s="91" t="n">
        <x:f>E22/D22</x:f>
        <x:v>0.833164812942366</x:v>
      </x:c>
      <x:c r="N22" t="str">
        <x:f>IF(OR(M22&lt;Assumptions!$B$5,F22&gt;Assumptions!$B$6,H22&gt;Assumptions!$B$7),"At Risk","On Track")</x:f>
        <x:v>At Risk</x:v>
      </x:c>
    </x:row>
    <x:row r="23">
      <x:c r="A23" s="100" t="n">
        <x:v>46048</x:v>
      </x:c>
      <x:c r="B23" t="str">
        <x:v>KYC Ops</x:v>
      </x:c>
      <x:c r="C23" t="str">
        <x:v>Email</x:v>
      </x:c>
      <x:c r="D23" s="104" t="n">
        <x:v>1549</x:v>
      </x:c>
      <x:c r="E23" s="104" t="n">
        <x:v>1324</x:v>
      </x:c>
      <x:c r="F23" s="102" t="n">
        <x:v>27.4</x:v>
      </x:c>
      <x:c r="G23" s="102" t="n">
        <x:v>269</x:v>
      </x:c>
      <x:c r="H23" s="102" t="n">
        <x:v>68.4</x:v>
      </x:c>
      <x:c r="I23" s="102" t="n">
        <x:v>176</x:v>
      </x:c>
      <x:c r="J23" s="102" t="n">
        <x:v>130</x:v>
      </x:c>
      <x:c r="K23" s="104" t="n">
        <x:v>29</x:v>
      </x:c>
      <x:c r="L23" s="102" t="n">
        <x:f>D23/K23</x:f>
        <x:v>53.41379310344828</x:v>
      </x:c>
      <x:c r="M23" s="91" t="n">
        <x:f>E23/D23</x:f>
        <x:v>0.854744996772111</x:v>
      </x:c>
      <x:c r="N23" t="str">
        <x:f>IF(OR(M23&lt;Assumptions!$B$5,F23&gt;Assumptions!$B$6,H23&gt;Assumptions!$B$7),"At Risk","On Track")</x:f>
        <x:v>At Risk</x:v>
      </x:c>
    </x:row>
    <x:row r="24">
      <x:c r="A24" s="100" t="n">
        <x:v>46048</x:v>
      </x:c>
      <x:c r="B24" t="str">
        <x:v>Payments Ops</x:v>
      </x:c>
      <x:c r="C24" t="str">
        <x:v>Internal Queue</x:v>
      </x:c>
      <x:c r="D24" s="104" t="n">
        <x:v>703</x:v>
      </x:c>
      <x:c r="E24" s="104" t="n">
        <x:v>640</x:v>
      </x:c>
      <x:c r="F24" s="102" t="n">
        <x:v>26.8</x:v>
      </x:c>
      <x:c r="G24" s="102" t="n">
        <x:v>38</x:v>
      </x:c>
      <x:c r="H24" s="102" t="n">
        <x:v>94</x:v>
      </x:c>
      <x:c r="I24" s="102" t="n">
        <x:v>80</x:v>
      </x:c>
      <x:c r="J24" s="102" t="n">
        <x:v>87</x:v>
      </x:c>
      <x:c r="K24" s="104" t="n">
        <x:v>17</x:v>
      </x:c>
      <x:c r="L24" s="102" t="n">
        <x:f>D24/K24</x:f>
        <x:v>41.35294117647059</x:v>
      </x:c>
      <x:c r="M24" s="91" t="n">
        <x:f>E24/D24</x:f>
        <x:v>0.9103840682788051</x:v>
      </x:c>
      <x:c r="N24" t="str">
        <x:f>IF(OR(M24&lt;Assumptions!$B$5,F24&gt;Assumptions!$B$6,H24&gt;Assumptions!$B$7),"At Risk","On Track")</x:f>
        <x:v>At Risk</x:v>
      </x:c>
    </x:row>
    <x:row r="25">
      <x:c r="A25" s="100" t="n">
        <x:v>46048</x:v>
      </x:c>
      <x:c r="B25" t="str">
        <x:v>Customer Support</x:v>
      </x:c>
      <x:c r="C25" t="str">
        <x:v>Internal Queue</x:v>
      </x:c>
      <x:c r="D25" s="104" t="n">
        <x:v>2040</x:v>
      </x:c>
      <x:c r="E25" s="104" t="n">
        <x:v>1733</x:v>
      </x:c>
      <x:c r="F25" s="102" t="n">
        <x:v>28.5</x:v>
      </x:c>
      <x:c r="G25" s="102" t="n">
        <x:v>212</x:v>
      </x:c>
      <x:c r="H25" s="102" t="n">
        <x:v>115.3</x:v>
      </x:c>
      <x:c r="I25" s="102" t="n">
        <x:v>209</x:v>
      </x:c>
      <x:c r="J25" s="102" t="n">
        <x:v>174</x:v>
      </x:c>
      <x:c r="K25" s="104" t="n">
        <x:v>25</x:v>
      </x:c>
      <x:c r="L25" s="102" t="n">
        <x:f>D25/K25</x:f>
        <x:v>81.6</x:v>
      </x:c>
      <x:c r="M25" s="91" t="n">
        <x:f>E25/D25</x:f>
        <x:v>0.8495098039215686</x:v>
      </x:c>
      <x:c r="N25" t="str">
        <x:f>IF(OR(M25&lt;Assumptions!$B$5,F25&gt;Assumptions!$B$6,H25&gt;Assumptions!$B$7),"At Risk","On Track")</x:f>
        <x:v>At Risk</x:v>
      </x:c>
    </x:row>
    <x:row r="26">
      <x:c r="A26" s="100" t="n">
        <x:v>46048</x:v>
      </x:c>
      <x:c r="B26" t="str">
        <x:v>Risk Review</x:v>
      </x:c>
      <x:c r="C26" t="str">
        <x:v>Portal</x:v>
      </x:c>
      <x:c r="D26" s="104" t="n">
        <x:v>917</x:v>
      </x:c>
      <x:c r="E26" s="104" t="n">
        <x:v>776</x:v>
      </x:c>
      <x:c r="F26" s="102" t="n">
        <x:v>24.8</x:v>
      </x:c>
      <x:c r="G26" s="102" t="n">
        <x:v>268</x:v>
      </x:c>
      <x:c r="H26" s="102" t="n">
        <x:v>95.5</x:v>
      </x:c>
      <x:c r="I26" s="102" t="n">
        <x:v>79</x:v>
      </x:c>
      <x:c r="J26" s="102" t="n">
        <x:v>82</x:v>
      </x:c>
      <x:c r="K26" s="104" t="n">
        <x:v>28</x:v>
      </x:c>
      <x:c r="L26" s="102" t="n">
        <x:f>D26/K26</x:f>
        <x:v>32.75</x:v>
      </x:c>
      <x:c r="M26" s="91" t="n">
        <x:f>E26/D26</x:f>
        <x:v>0.8462377317339149</x:v>
      </x:c>
      <x:c r="N26" t="str">
        <x:f>IF(OR(M26&lt;Assumptions!$B$5,F26&gt;Assumptions!$B$6,H26&gt;Assumptions!$B$7),"At Risk","On Track")</x:f>
        <x:v>At Risk</x:v>
      </x:c>
    </x:row>
    <x:row r="27">
      <x:c r="A27" s="100" t="n">
        <x:v>46048</x:v>
      </x:c>
      <x:c r="B27" t="str">
        <x:v>Finance Ops</x:v>
      </x:c>
      <x:c r="C27" t="str">
        <x:v>Email</x:v>
      </x:c>
      <x:c r="D27" s="104" t="n">
        <x:v>716</x:v>
      </x:c>
      <x:c r="E27" s="104" t="n">
        <x:v>683</x:v>
      </x:c>
      <x:c r="F27" s="102" t="n">
        <x:v>17.6</x:v>
      </x:c>
      <x:c r="G27" s="102" t="n">
        <x:v>82</x:v>
      </x:c>
      <x:c r="H27" s="102" t="n">
        <x:v>34.5</x:v>
      </x:c>
      <x:c r="I27" s="102" t="n">
        <x:v>32</x:v>
      </x:c>
      <x:c r="J27" s="102" t="n">
        <x:v>90</x:v>
      </x:c>
      <x:c r="K27" s="104" t="n">
        <x:v>24</x:v>
      </x:c>
      <x:c r="L27" s="102" t="n">
        <x:f>D27/K27</x:f>
        <x:v>29.833333333333332</x:v>
      </x:c>
      <x:c r="M27" s="91" t="n">
        <x:f>E27/D27</x:f>
        <x:v>0.9539106145251397</x:v>
      </x:c>
      <x:c r="N27" t="str">
        <x:f>IF(OR(M27&lt;Assumptions!$B$5,F27&gt;Assumptions!$B$6,H27&gt;Assumptions!$B$7),"At Risk","On Track")</x:f>
        <x:v>On Track</x:v>
      </x:c>
    </x:row>
    <x:row r="28">
      <x:c r="A28" s="100" t="n">
        <x:v>46048</x:v>
      </x:c>
      <x:c r="B28" t="str">
        <x:v>Vendor Ops</x:v>
      </x:c>
      <x:c r="C28" t="str">
        <x:v>Portal</x:v>
      </x:c>
      <x:c r="D28" s="104" t="n">
        <x:v>1104</x:v>
      </x:c>
      <x:c r="E28" s="104" t="n">
        <x:v>994</x:v>
      </x:c>
      <x:c r="F28" s="102" t="n">
        <x:v>16.8</x:v>
      </x:c>
      <x:c r="G28" s="102" t="n">
        <x:v>55</x:v>
      </x:c>
      <x:c r="H28" s="102" t="n">
        <x:v>57.7</x:v>
      </x:c>
      <x:c r="I28" s="102" t="n">
        <x:v>95</x:v>
      </x:c>
      <x:c r="J28" s="102" t="n">
        <x:v>101</x:v>
      </x:c>
      <x:c r="K28" s="104" t="n">
        <x:v>20</x:v>
      </x:c>
      <x:c r="L28" s="102" t="n">
        <x:f>D28/K28</x:f>
        <x:v>55.2</x:v>
      </x:c>
      <x:c r="M28" s="91" t="n">
        <x:f>E28/D28</x:f>
        <x:v>0.9003623188405797</x:v>
      </x:c>
      <x:c r="N28" t="str">
        <x:f>IF(OR(M28&lt;Assumptions!$B$5,F28&gt;Assumptions!$B$6,H28&gt;Assumptions!$B$7),"At Risk","On Track")</x:f>
        <x:v>On Track</x:v>
      </x:c>
    </x:row>
    <x:row r="29">
      <x:c r="A29" s="100" t="n">
        <x:v>46055</x:v>
      </x:c>
      <x:c r="B29" t="str">
        <x:v>KYC Ops</x:v>
      </x:c>
      <x:c r="C29" t="str">
        <x:v>Email</x:v>
      </x:c>
      <x:c r="D29" s="104" t="n">
        <x:v>1565</x:v>
      </x:c>
      <x:c r="E29" s="104" t="n">
        <x:v>1341</x:v>
      </x:c>
      <x:c r="F29" s="102" t="n">
        <x:v>27.8</x:v>
      </x:c>
      <x:c r="G29" s="102" t="n">
        <x:v>312</x:v>
      </x:c>
      <x:c r="H29" s="102" t="n">
        <x:v>125</x:v>
      </x:c>
      <x:c r="I29" s="102" t="n">
        <x:v>63</x:v>
      </x:c>
      <x:c r="J29" s="102" t="n">
        <x:v>159</x:v>
      </x:c>
      <x:c r="K29" s="104" t="n">
        <x:v>30</x:v>
      </x:c>
      <x:c r="L29" s="102" t="n">
        <x:f>D29/K29</x:f>
        <x:v>52.166666666666664</x:v>
      </x:c>
      <x:c r="M29" s="91" t="n">
        <x:f>E29/D29</x:f>
        <x:v>0.8568690095846645</x:v>
      </x:c>
      <x:c r="N29" t="str">
        <x:f>IF(OR(M29&lt;Assumptions!$B$5,F29&gt;Assumptions!$B$6,H29&gt;Assumptions!$B$7),"At Risk","On Track")</x:f>
        <x:v>At Risk</x:v>
      </x:c>
    </x:row>
    <x:row r="30">
      <x:c r="A30" s="100" t="n">
        <x:v>46055</x:v>
      </x:c>
      <x:c r="B30" t="str">
        <x:v>Payments Ops</x:v>
      </x:c>
      <x:c r="C30" t="str">
        <x:v>Email</x:v>
      </x:c>
      <x:c r="D30" s="104" t="n">
        <x:v>750</x:v>
      </x:c>
      <x:c r="E30" s="104" t="n">
        <x:v>671</x:v>
      </x:c>
      <x:c r="F30" s="102" t="n">
        <x:v>31.2</x:v>
      </x:c>
      <x:c r="G30" s="102" t="n">
        <x:v>221</x:v>
      </x:c>
      <x:c r="H30" s="102" t="n">
        <x:v>110.4</x:v>
      </x:c>
      <x:c r="I30" s="102" t="n">
        <x:v>39</x:v>
      </x:c>
      <x:c r="J30" s="102" t="n">
        <x:v>92</x:v>
      </x:c>
      <x:c r="K30" s="104" t="n">
        <x:v>21</x:v>
      </x:c>
      <x:c r="L30" s="102" t="n">
        <x:f>D30/K30</x:f>
        <x:v>35.714285714285715</x:v>
      </x:c>
      <x:c r="M30" s="91" t="n">
        <x:f>E30/D30</x:f>
        <x:v>0.8946666666666667</x:v>
      </x:c>
      <x:c r="N30" t="str">
        <x:f>IF(OR(M30&lt;Assumptions!$B$5,F30&gt;Assumptions!$B$6,H30&gt;Assumptions!$B$7),"At Risk","On Track")</x:f>
        <x:v>At Risk</x:v>
      </x:c>
    </x:row>
    <x:row r="31">
      <x:c r="A31" s="100" t="n">
        <x:v>46055</x:v>
      </x:c>
      <x:c r="B31" t="str">
        <x:v>Customer Support</x:v>
      </x:c>
      <x:c r="C31" t="str">
        <x:v>Portal</x:v>
      </x:c>
      <x:c r="D31" s="104" t="n">
        <x:v>1466</x:v>
      </x:c>
      <x:c r="E31" s="104" t="n">
        <x:v>1394</x:v>
      </x:c>
      <x:c r="F31" s="102" t="n">
        <x:v>18.7</x:v>
      </x:c>
      <x:c r="G31" s="102" t="n">
        <x:v>64</x:v>
      </x:c>
      <x:c r="H31" s="102" t="n">
        <x:v>88.7</x:v>
      </x:c>
      <x:c r="I31" s="102" t="n">
        <x:v>145</x:v>
      </x:c>
      <x:c r="J31" s="102" t="n">
        <x:v>81</x:v>
      </x:c>
      <x:c r="K31" s="104" t="n">
        <x:v>21</x:v>
      </x:c>
      <x:c r="L31" s="102" t="n">
        <x:f>D31/K31</x:f>
        <x:v>69.80952380952381</x:v>
      </x:c>
      <x:c r="M31" s="91" t="n">
        <x:f>E31/D31</x:f>
        <x:v>0.9508867667121419</x:v>
      </x:c>
      <x:c r="N31" t="str">
        <x:f>IF(OR(M31&lt;Assumptions!$B$5,F31&gt;Assumptions!$B$6,H31&gt;Assumptions!$B$7),"At Risk","On Track")</x:f>
        <x:v>At Risk</x:v>
      </x:c>
    </x:row>
    <x:row r="32">
      <x:c r="A32" s="100" t="n">
        <x:v>46055</x:v>
      </x:c>
      <x:c r="B32" t="str">
        <x:v>Risk Review</x:v>
      </x:c>
      <x:c r="C32" t="str">
        <x:v>Email</x:v>
      </x:c>
      <x:c r="D32" s="104" t="n">
        <x:v>1302</x:v>
      </x:c>
      <x:c r="E32" s="104" t="n">
        <x:v>1026</x:v>
      </x:c>
      <x:c r="F32" s="102" t="n">
        <x:v>34.8</x:v>
      </x:c>
      <x:c r="G32" s="102" t="n">
        <x:v>304</x:v>
      </x:c>
      <x:c r="H32" s="102" t="n">
        <x:v>121.7</x:v>
      </x:c>
      <x:c r="I32" s="102" t="n">
        <x:v>61</x:v>
      </x:c>
      <x:c r="J32" s="102" t="n">
        <x:v>107</x:v>
      </x:c>
      <x:c r="K32" s="104" t="n">
        <x:v>20</x:v>
      </x:c>
      <x:c r="L32" s="102" t="n">
        <x:f>D32/K32</x:f>
        <x:v>65.1</x:v>
      </x:c>
      <x:c r="M32" s="91" t="n">
        <x:f>E32/D32</x:f>
        <x:v>0.7880184331797235</x:v>
      </x:c>
      <x:c r="N32" t="str">
        <x:f>IF(OR(M32&lt;Assumptions!$B$5,F32&gt;Assumptions!$B$6,H32&gt;Assumptions!$B$7),"At Risk","On Track")</x:f>
        <x:v>At Risk</x:v>
      </x:c>
    </x:row>
    <x:row r="33">
      <x:c r="A33" s="100" t="n">
        <x:v>46055</x:v>
      </x:c>
      <x:c r="B33" t="str">
        <x:v>Finance Ops</x:v>
      </x:c>
      <x:c r="C33" t="str">
        <x:v>Email</x:v>
      </x:c>
      <x:c r="D33" s="104" t="n">
        <x:v>607</x:v>
      </x:c>
      <x:c r="E33" s="104" t="n">
        <x:v>526</x:v>
      </x:c>
      <x:c r="F33" s="102" t="n">
        <x:v>30.5</x:v>
      </x:c>
      <x:c r="G33" s="102" t="n">
        <x:v>269</x:v>
      </x:c>
      <x:c r="H33" s="102" t="n">
        <x:v>90</x:v>
      </x:c>
      <x:c r="I33" s="102" t="n">
        <x:v>24</x:v>
      </x:c>
      <x:c r="J33" s="102" t="n">
        <x:v>28</x:v>
      </x:c>
      <x:c r="K33" s="104" t="n">
        <x:v>16</x:v>
      </x:c>
      <x:c r="L33" s="102" t="n">
        <x:f>D33/K33</x:f>
        <x:v>37.9375</x:v>
      </x:c>
      <x:c r="M33" s="91" t="n">
        <x:f>E33/D33</x:f>
        <x:v>0.8665568369028006</x:v>
      </x:c>
      <x:c r="N33" t="str">
        <x:f>IF(OR(M33&lt;Assumptions!$B$5,F33&gt;Assumptions!$B$6,H33&gt;Assumptions!$B$7),"At Risk","On Track")</x:f>
        <x:v>At Risk</x:v>
      </x:c>
    </x:row>
    <x:row r="34">
      <x:c r="A34" s="100" t="n">
        <x:v>46055</x:v>
      </x:c>
      <x:c r="B34" t="str">
        <x:v>Vendor Ops</x:v>
      </x:c>
      <x:c r="C34" t="str">
        <x:v>Chat</x:v>
      </x:c>
      <x:c r="D34" s="104" t="n">
        <x:v>1356</x:v>
      </x:c>
      <x:c r="E34" s="104" t="n">
        <x:v>1222</x:v>
      </x:c>
      <x:c r="F34" s="102" t="n">
        <x:v>19</x:v>
      </x:c>
      <x:c r="G34" s="102" t="n">
        <x:v>67</x:v>
      </x:c>
      <x:c r="H34" s="102" t="n">
        <x:v>32.8</x:v>
      </x:c>
      <x:c r="I34" s="102" t="n">
        <x:v>93</x:v>
      </x:c>
      <x:c r="J34" s="102" t="n">
        <x:v>180</x:v>
      </x:c>
      <x:c r="K34" s="104" t="n">
        <x:v>13</x:v>
      </x:c>
      <x:c r="L34" s="102" t="n">
        <x:f>D34/K34</x:f>
        <x:v>104.3076923076923</x:v>
      </x:c>
      <x:c r="M34" s="91" t="n">
        <x:f>E34/D34</x:f>
        <x:v>0.9011799410029498</x:v>
      </x:c>
      <x:c r="N34" t="str">
        <x:f>IF(OR(M34&lt;Assumptions!$B$5,F34&gt;Assumptions!$B$6,H34&gt;Assumptions!$B$7),"At Risk","On Track")</x:f>
        <x:v>On Track</x:v>
      </x:c>
    </x:row>
    <x:row r="35">
      <x:c r="A35" s="100" t="n">
        <x:v>46062</x:v>
      </x:c>
      <x:c r="B35" t="str">
        <x:v>KYC Ops</x:v>
      </x:c>
      <x:c r="C35" t="str">
        <x:v>Portal</x:v>
      </x:c>
      <x:c r="D35" s="104" t="n">
        <x:v>1357</x:v>
      </x:c>
      <x:c r="E35" s="104" t="n">
        <x:v>1239</x:v>
      </x:c>
      <x:c r="F35" s="102" t="n">
        <x:v>23.1</x:v>
      </x:c>
      <x:c r="G35" s="102" t="n">
        <x:v>178</x:v>
      </x:c>
      <x:c r="H35" s="102" t="n">
        <x:v>111.5</x:v>
      </x:c>
      <x:c r="I35" s="102" t="n">
        <x:v>121</x:v>
      </x:c>
      <x:c r="J35" s="102" t="n">
        <x:v>75</x:v>
      </x:c>
      <x:c r="K35" s="104" t="n">
        <x:v>19</x:v>
      </x:c>
      <x:c r="L35" s="102" t="n">
        <x:f>D35/K35</x:f>
        <x:v>71.42105263157895</x:v>
      </x:c>
      <x:c r="M35" s="91" t="n">
        <x:f>E35/D35</x:f>
        <x:v>0.9130434782608695</x:v>
      </x:c>
      <x:c r="N35" t="str">
        <x:f>IF(OR(M35&lt;Assumptions!$B$5,F35&gt;Assumptions!$B$6,H35&gt;Assumptions!$B$7),"At Risk","On Track")</x:f>
        <x:v>At Risk</x:v>
      </x:c>
    </x:row>
    <x:row r="36">
      <x:c r="A36" s="100" t="n">
        <x:v>46062</x:v>
      </x:c>
      <x:c r="B36" t="str">
        <x:v>Payments Ops</x:v>
      </x:c>
      <x:c r="C36" t="str">
        <x:v>Chat</x:v>
      </x:c>
      <x:c r="D36" s="104" t="n">
        <x:v>962</x:v>
      </x:c>
      <x:c r="E36" s="104" t="n">
        <x:v>907</x:v>
      </x:c>
      <x:c r="F36" s="102" t="n">
        <x:v>16.5</x:v>
      </x:c>
      <x:c r="G36" s="102" t="n">
        <x:v>120</x:v>
      </x:c>
      <x:c r="H36" s="102" t="n">
        <x:v>81.6</x:v>
      </x:c>
      <x:c r="I36" s="102" t="n">
        <x:v>70</x:v>
      </x:c>
      <x:c r="J36" s="102" t="n">
        <x:v>102</x:v>
      </x:c>
      <x:c r="K36" s="104" t="n">
        <x:v>19</x:v>
      </x:c>
      <x:c r="L36" s="102" t="n">
        <x:f>D36/K36</x:f>
        <x:v>50.63157894736842</x:v>
      </x:c>
      <x:c r="M36" s="91" t="n">
        <x:f>E36/D36</x:f>
        <x:v>0.9428274428274428</x:v>
      </x:c>
      <x:c r="N36" t="str">
        <x:f>IF(OR(M36&lt;Assumptions!$B$5,F36&gt;Assumptions!$B$6,H36&gt;Assumptions!$B$7),"At Risk","On Track")</x:f>
        <x:v>At Risk</x:v>
      </x:c>
    </x:row>
    <x:row r="37">
      <x:c r="A37" s="100" t="n">
        <x:v>46062</x:v>
      </x:c>
      <x:c r="B37" t="str">
        <x:v>Customer Support</x:v>
      </x:c>
      <x:c r="C37" t="str">
        <x:v>Internal Queue</x:v>
      </x:c>
      <x:c r="D37" s="104" t="n">
        <x:v>1181</x:v>
      </x:c>
      <x:c r="E37" s="104" t="n">
        <x:v>1031</x:v>
      </x:c>
      <x:c r="F37" s="102" t="n">
        <x:v>24.5</x:v>
      </x:c>
      <x:c r="G37" s="102" t="n">
        <x:v>283</x:v>
      </x:c>
      <x:c r="H37" s="102" t="n">
        <x:v>84.5</x:v>
      </x:c>
      <x:c r="I37" s="102" t="n">
        <x:v>129</x:v>
      </x:c>
      <x:c r="J37" s="102" t="n">
        <x:v>73</x:v>
      </x:c>
      <x:c r="K37" s="104" t="n">
        <x:v>18</x:v>
      </x:c>
      <x:c r="L37" s="102" t="n">
        <x:f>D37/K37</x:f>
        <x:v>65.61111111111111</x:v>
      </x:c>
      <x:c r="M37" s="91" t="n">
        <x:f>E37/D37</x:f>
        <x:v>0.8729889923793396</x:v>
      </x:c>
      <x:c r="N37" t="str">
        <x:f>IF(OR(M37&lt;Assumptions!$B$5,F37&gt;Assumptions!$B$6,H37&gt;Assumptions!$B$7),"At Risk","On Track")</x:f>
        <x:v>At Risk</x:v>
      </x:c>
    </x:row>
    <x:row r="38">
      <x:c r="A38" s="100" t="n">
        <x:v>46062</x:v>
      </x:c>
      <x:c r="B38" t="str">
        <x:v>Risk Review</x:v>
      </x:c>
      <x:c r="C38" t="str">
        <x:v>Chat</x:v>
      </x:c>
      <x:c r="D38" s="104" t="n">
        <x:v>1272</x:v>
      </x:c>
      <x:c r="E38" s="104" t="n">
        <x:v>1016</x:v>
      </x:c>
      <x:c r="F38" s="102" t="n">
        <x:v>27.6</x:v>
      </x:c>
      <x:c r="G38" s="102" t="n">
        <x:v>334</x:v>
      </x:c>
      <x:c r="H38" s="102" t="n">
        <x:v>91</x:v>
      </x:c>
      <x:c r="I38" s="102" t="n">
        <x:v>105</x:v>
      </x:c>
      <x:c r="J38" s="102" t="n">
        <x:v>170</x:v>
      </x:c>
      <x:c r="K38" s="104" t="n">
        <x:v>15</x:v>
      </x:c>
      <x:c r="L38" s="102" t="n">
        <x:f>D38/K38</x:f>
        <x:v>84.8</x:v>
      </x:c>
      <x:c r="M38" s="91" t="n">
        <x:f>E38/D38</x:f>
        <x:v>0.7987421383647799</x:v>
      </x:c>
      <x:c r="N38" t="str">
        <x:f>IF(OR(M38&lt;Assumptions!$B$5,F38&gt;Assumptions!$B$6,H38&gt;Assumptions!$B$7),"At Risk","On Track")</x:f>
        <x:v>At Risk</x:v>
      </x:c>
    </x:row>
    <x:row r="39">
      <x:c r="A39" s="100" t="n">
        <x:v>46062</x:v>
      </x:c>
      <x:c r="B39" t="str">
        <x:v>Finance Ops</x:v>
      </x:c>
      <x:c r="C39" t="str">
        <x:v>Internal Queue</x:v>
      </x:c>
      <x:c r="D39" s="104" t="n">
        <x:v>965</x:v>
      </x:c>
      <x:c r="E39" s="104" t="n">
        <x:v>869</x:v>
      </x:c>
      <x:c r="F39" s="102" t="n">
        <x:v>35.7</x:v>
      </x:c>
      <x:c r="G39" s="102" t="n">
        <x:v>44</x:v>
      </x:c>
      <x:c r="H39" s="102" t="n">
        <x:v>37.2</x:v>
      </x:c>
      <x:c r="I39" s="102" t="n">
        <x:v>72</x:v>
      </x:c>
      <x:c r="J39" s="102" t="n">
        <x:v>108</x:v>
      </x:c>
      <x:c r="K39" s="104" t="n">
        <x:v>22</x:v>
      </x:c>
      <x:c r="L39" s="102" t="n">
        <x:f>D39/K39</x:f>
        <x:v>43.86363636363637</x:v>
      </x:c>
      <x:c r="M39" s="91" t="n">
        <x:f>E39/D39</x:f>
        <x:v>0.900518134715026</x:v>
      </x:c>
      <x:c r="N39" t="str">
        <x:f>IF(OR(M39&lt;Assumptions!$B$5,F39&gt;Assumptions!$B$6,H39&gt;Assumptions!$B$7),"At Risk","On Track")</x:f>
        <x:v>At Risk</x:v>
      </x:c>
    </x:row>
    <x:row r="40">
      <x:c r="A40" s="100" t="n">
        <x:v>46062</x:v>
      </x:c>
      <x:c r="B40" t="str">
        <x:v>Vendor Ops</x:v>
      </x:c>
      <x:c r="C40" t="str">
        <x:v>Chat</x:v>
      </x:c>
      <x:c r="D40" s="104" t="n">
        <x:v>1647</x:v>
      </x:c>
      <x:c r="E40" s="104" t="n">
        <x:v>1377</x:v>
      </x:c>
      <x:c r="F40" s="102" t="n">
        <x:v>39.5</x:v>
      </x:c>
      <x:c r="G40" s="102" t="n">
        <x:v>237</x:v>
      </x:c>
      <x:c r="H40" s="102" t="n">
        <x:v>63.6</x:v>
      </x:c>
      <x:c r="I40" s="102" t="n">
        <x:v>136</x:v>
      </x:c>
      <x:c r="J40" s="102" t="n">
        <x:v>184</x:v>
      </x:c>
      <x:c r="K40" s="104" t="n">
        <x:v>18</x:v>
      </x:c>
      <x:c r="L40" s="102" t="n">
        <x:f>D40/K40</x:f>
        <x:v>91.5</x:v>
      </x:c>
      <x:c r="M40" s="91" t="n">
        <x:f>E40/D40</x:f>
        <x:v>0.8360655737704918</x:v>
      </x:c>
      <x:c r="N40" t="str">
        <x:f>IF(OR(M40&lt;Assumptions!$B$5,F40&gt;Assumptions!$B$6,H40&gt;Assumptions!$B$7),"At Risk","On Track")</x:f>
        <x:v>At Risk</x:v>
      </x:c>
    </x:row>
    <x:row r="41">
      <x:c r="A41" s="100" t="n">
        <x:v>46069</x:v>
      </x:c>
      <x:c r="B41" t="str">
        <x:v>KYC Ops</x:v>
      </x:c>
      <x:c r="C41" t="str">
        <x:v>Internal Queue</x:v>
      </x:c>
      <x:c r="D41" s="104" t="n">
        <x:v>1718</x:v>
      </x:c>
      <x:c r="E41" s="104" t="n">
        <x:v>1636</x:v>
      </x:c>
      <x:c r="F41" s="102" t="n">
        <x:v>34.4</x:v>
      </x:c>
      <x:c r="G41" s="102" t="n">
        <x:v>194</x:v>
      </x:c>
      <x:c r="H41" s="102" t="n">
        <x:v>82.7</x:v>
      </x:c>
      <x:c r="I41" s="102" t="n">
        <x:v>167</x:v>
      </x:c>
      <x:c r="J41" s="102" t="n">
        <x:v>120</x:v>
      </x:c>
      <x:c r="K41" s="104" t="n">
        <x:v>21</x:v>
      </x:c>
      <x:c r="L41" s="102" t="n">
        <x:f>D41/K41</x:f>
        <x:v>81.80952380952381</x:v>
      </x:c>
      <x:c r="M41" s="91" t="n">
        <x:f>E41/D41</x:f>
        <x:v>0.9522700814901047</x:v>
      </x:c>
      <x:c r="N41" t="str">
        <x:f>IF(OR(M41&lt;Assumptions!$B$5,F41&gt;Assumptions!$B$6,H41&gt;Assumptions!$B$7),"At Risk","On Track")</x:f>
        <x:v>At Risk</x:v>
      </x:c>
    </x:row>
    <x:row r="42">
      <x:c r="A42" s="100" t="n">
        <x:v>46069</x:v>
      </x:c>
      <x:c r="B42" t="str">
        <x:v>Payments Ops</x:v>
      </x:c>
      <x:c r="C42" t="str">
        <x:v>Email</x:v>
      </x:c>
      <x:c r="D42" s="104" t="n">
        <x:v>1268</x:v>
      </x:c>
      <x:c r="E42" s="104" t="n">
        <x:v>1111</x:v>
      </x:c>
      <x:c r="F42" s="102" t="n">
        <x:v>26.9</x:v>
      </x:c>
      <x:c r="G42" s="102" t="n">
        <x:v>319</x:v>
      </x:c>
      <x:c r="H42" s="102" t="n">
        <x:v>107.8</x:v>
      </x:c>
      <x:c r="I42" s="102" t="n">
        <x:v>113</x:v>
      </x:c>
      <x:c r="J42" s="102" t="n">
        <x:v>88</x:v>
      </x:c>
      <x:c r="K42" s="104" t="n">
        <x:v>29</x:v>
      </x:c>
      <x:c r="L42" s="102" t="n">
        <x:f>D42/K42</x:f>
        <x:v>43.724137931034484</x:v>
      </x:c>
      <x:c r="M42" s="91" t="n">
        <x:f>E42/D42</x:f>
        <x:v>0.8761829652996845</x:v>
      </x:c>
      <x:c r="N42" t="str">
        <x:f>IF(OR(M42&lt;Assumptions!$B$5,F42&gt;Assumptions!$B$6,H42&gt;Assumptions!$B$7),"At Risk","On Track")</x:f>
        <x:v>At Risk</x:v>
      </x:c>
    </x:row>
    <x:row r="43">
      <x:c r="A43" s="100" t="n">
        <x:v>46069</x:v>
      </x:c>
      <x:c r="B43" t="str">
        <x:v>Customer Support</x:v>
      </x:c>
      <x:c r="C43" t="str">
        <x:v>Email</x:v>
      </x:c>
      <x:c r="D43" s="104" t="n">
        <x:v>1568</x:v>
      </x:c>
      <x:c r="E43" s="104" t="n">
        <x:v>1331</x:v>
      </x:c>
      <x:c r="F43" s="102" t="n">
        <x:v>40.6</x:v>
      </x:c>
      <x:c r="G43" s="102" t="n">
        <x:v>316</x:v>
      </x:c>
      <x:c r="H43" s="102" t="n">
        <x:v>87.7</x:v>
      </x:c>
      <x:c r="I43" s="102" t="n">
        <x:v>126</x:v>
      </x:c>
      <x:c r="J43" s="102" t="n">
        <x:v>187</x:v>
      </x:c>
      <x:c r="K43" s="104" t="n">
        <x:v>17</x:v>
      </x:c>
      <x:c r="L43" s="102" t="n">
        <x:f>D43/K43</x:f>
        <x:v>92.23529411764706</x:v>
      </x:c>
      <x:c r="M43" s="91" t="n">
        <x:f>E43/D43</x:f>
        <x:v>0.8488520408163265</x:v>
      </x:c>
      <x:c r="N43" t="str">
        <x:f>IF(OR(M43&lt;Assumptions!$B$5,F43&gt;Assumptions!$B$6,H43&gt;Assumptions!$B$7),"At Risk","On Track")</x:f>
        <x:v>At Risk</x:v>
      </x:c>
    </x:row>
    <x:row r="44">
      <x:c r="A44" s="100" t="n">
        <x:v>46069</x:v>
      </x:c>
      <x:c r="B44" t="str">
        <x:v>Risk Review</x:v>
      </x:c>
      <x:c r="C44" t="str">
        <x:v>Email</x:v>
      </x:c>
      <x:c r="D44" s="104" t="n">
        <x:v>1181</x:v>
      </x:c>
      <x:c r="E44" s="104" t="n">
        <x:v>982</x:v>
      </x:c>
      <x:c r="F44" s="102" t="n">
        <x:v>35.3</x:v>
      </x:c>
      <x:c r="G44" s="102" t="n">
        <x:v>254</x:v>
      </x:c>
      <x:c r="H44" s="102" t="n">
        <x:v>63.8</x:v>
      </x:c>
      <x:c r="I44" s="102" t="n">
        <x:v>49</x:v>
      </x:c>
      <x:c r="J44" s="102" t="n">
        <x:v>76</x:v>
      </x:c>
      <x:c r="K44" s="104" t="n">
        <x:v>27</x:v>
      </x:c>
      <x:c r="L44" s="102" t="n">
        <x:f>D44/K44</x:f>
        <x:v>43.74074074074074</x:v>
      </x:c>
      <x:c r="M44" s="91" t="n">
        <x:f>E44/D44</x:f>
        <x:v>0.8314987298899238</x:v>
      </x:c>
      <x:c r="N44" t="str">
        <x:f>IF(OR(M44&lt;Assumptions!$B$5,F44&gt;Assumptions!$B$6,H44&gt;Assumptions!$B$7),"At Risk","On Track")</x:f>
        <x:v>At Risk</x:v>
      </x:c>
    </x:row>
    <x:row r="45">
      <x:c r="A45" s="100" t="n">
        <x:v>46069</x:v>
      </x:c>
      <x:c r="B45" t="str">
        <x:v>Finance Ops</x:v>
      </x:c>
      <x:c r="C45" t="str">
        <x:v>Internal Queue</x:v>
      </x:c>
      <x:c r="D45" s="104" t="n">
        <x:v>1532</x:v>
      </x:c>
      <x:c r="E45" s="104" t="n">
        <x:v>1345</x:v>
      </x:c>
      <x:c r="F45" s="102" t="n">
        <x:v>34.2</x:v>
      </x:c>
      <x:c r="G45" s="102" t="n">
        <x:v>391</x:v>
      </x:c>
      <x:c r="H45" s="102" t="n">
        <x:v>82.5</x:v>
      </x:c>
      <x:c r="I45" s="102" t="n">
        <x:v>141</x:v>
      </x:c>
      <x:c r="J45" s="102" t="n">
        <x:v>62</x:v>
      </x:c>
      <x:c r="K45" s="104" t="n">
        <x:v>15</x:v>
      </x:c>
      <x:c r="L45" s="102" t="n">
        <x:f>D45/K45</x:f>
        <x:v>102.13333333333334</x:v>
      </x:c>
      <x:c r="M45" s="91" t="n">
        <x:f>E45/D45</x:f>
        <x:v>0.8779373368146214</x:v>
      </x:c>
      <x:c r="N45" t="str">
        <x:f>IF(OR(M45&lt;Assumptions!$B$5,F45&gt;Assumptions!$B$6,H45&gt;Assumptions!$B$7),"At Risk","On Track")</x:f>
        <x:v>At Risk</x:v>
      </x:c>
    </x:row>
    <x:row r="46">
      <x:c r="A46" s="100" t="n">
        <x:v>46069</x:v>
      </x:c>
      <x:c r="B46" t="str">
        <x:v>Vendor Ops</x:v>
      </x:c>
      <x:c r="C46" t="str">
        <x:v>Chat</x:v>
      </x:c>
      <x:c r="D46" s="104" t="n">
        <x:v>1048</x:v>
      </x:c>
      <x:c r="E46" s="104" t="n">
        <x:v>885</x:v>
      </x:c>
      <x:c r="F46" s="102" t="n">
        <x:v>43.3</x:v>
      </x:c>
      <x:c r="G46" s="102" t="n">
        <x:v>190</x:v>
      </x:c>
      <x:c r="H46" s="102" t="n">
        <x:v>108</x:v>
      </x:c>
      <x:c r="I46" s="102" t="n">
        <x:v>53</x:v>
      </x:c>
      <x:c r="J46" s="102" t="n">
        <x:v>90</x:v>
      </x:c>
      <x:c r="K46" s="104" t="n">
        <x:v>28</x:v>
      </x:c>
      <x:c r="L46" s="102" t="n">
        <x:f>D46/K46</x:f>
        <x:v>37.42857142857143</x:v>
      </x:c>
      <x:c r="M46" s="91" t="n">
        <x:f>E46/D46</x:f>
        <x:v>0.8444656488549618</x:v>
      </x:c>
      <x:c r="N46" t="str">
        <x:f>IF(OR(M46&lt;Assumptions!$B$5,F46&gt;Assumptions!$B$6,H46&gt;Assumptions!$B$7),"At Risk","On Track")</x:f>
        <x:v>At Risk</x:v>
      </x:c>
    </x:row>
    <x:row r="47">
      <x:c r="A47" s="100" t="n">
        <x:v>46076</x:v>
      </x:c>
      <x:c r="B47" t="str">
        <x:v>KYC Ops</x:v>
      </x:c>
      <x:c r="C47" t="str">
        <x:v>Internal Queue</x:v>
      </x:c>
      <x:c r="D47" s="104" t="n">
        <x:v>1964</x:v>
      </x:c>
      <x:c r="E47" s="104" t="n">
        <x:v>1727</x:v>
      </x:c>
      <x:c r="F47" s="102" t="n">
        <x:v>41.7</x:v>
      </x:c>
      <x:c r="G47" s="102" t="n">
        <x:v>276</x:v>
      </x:c>
      <x:c r="H47" s="102" t="n">
        <x:v>89.7</x:v>
      </x:c>
      <x:c r="I47" s="102" t="n">
        <x:v>210</x:v>
      </x:c>
      <x:c r="J47" s="102" t="n">
        <x:v>133</x:v>
      </x:c>
      <x:c r="K47" s="104" t="n">
        <x:v>28</x:v>
      </x:c>
      <x:c r="L47" s="102" t="n">
        <x:f>D47/K47</x:f>
        <x:v>70.14285714285714</x:v>
      </x:c>
      <x:c r="M47" s="91" t="n">
        <x:f>E47/D47</x:f>
        <x:v>0.8793279022403259</x:v>
      </x:c>
      <x:c r="N47" t="str">
        <x:f>IF(OR(M47&lt;Assumptions!$B$5,F47&gt;Assumptions!$B$6,H47&gt;Assumptions!$B$7),"At Risk","On Track")</x:f>
        <x:v>At Risk</x:v>
      </x:c>
    </x:row>
    <x:row r="48">
      <x:c r="A48" s="100" t="n">
        <x:v>46076</x:v>
      </x:c>
      <x:c r="B48" t="str">
        <x:v>Payments Ops</x:v>
      </x:c>
      <x:c r="C48" t="str">
        <x:v>Portal</x:v>
      </x:c>
      <x:c r="D48" s="104" t="n">
        <x:v>1089</x:v>
      </x:c>
      <x:c r="E48" s="104" t="n">
        <x:v>934</x:v>
      </x:c>
      <x:c r="F48" s="102" t="n">
        <x:v>23.8</x:v>
      </x:c>
      <x:c r="G48" s="102" t="n">
        <x:v>269</x:v>
      </x:c>
      <x:c r="H48" s="102" t="n">
        <x:v>76.9</x:v>
      </x:c>
      <x:c r="I48" s="102" t="n">
        <x:v>55</x:v>
      </x:c>
      <x:c r="J48" s="102" t="n">
        <x:v>68</x:v>
      </x:c>
      <x:c r="K48" s="104" t="n">
        <x:v>16</x:v>
      </x:c>
      <x:c r="L48" s="102" t="n">
        <x:f>D48/K48</x:f>
        <x:v>68.0625</x:v>
      </x:c>
      <x:c r="M48" s="91" t="n">
        <x:f>E48/D48</x:f>
        <x:v>0.8576675849403123</x:v>
      </x:c>
      <x:c r="N48" t="str">
        <x:f>IF(OR(M48&lt;Assumptions!$B$5,F48&gt;Assumptions!$B$6,H48&gt;Assumptions!$B$7),"At Risk","On Track")</x:f>
        <x:v>At Risk</x:v>
      </x:c>
    </x:row>
    <x:row r="49">
      <x:c r="A49" s="100" t="n">
        <x:v>46076</x:v>
      </x:c>
      <x:c r="B49" t="str">
        <x:v>Customer Support</x:v>
      </x:c>
      <x:c r="C49" t="str">
        <x:v>Internal Queue</x:v>
      </x:c>
      <x:c r="D49" s="104" t="n">
        <x:v>1143</x:v>
      </x:c>
      <x:c r="E49" s="104" t="n">
        <x:v>1002</x:v>
      </x:c>
      <x:c r="F49" s="102" t="n">
        <x:v>34.2</x:v>
      </x:c>
      <x:c r="G49" s="102" t="n">
        <x:v>274</x:v>
      </x:c>
      <x:c r="H49" s="102" t="n">
        <x:v>86.1</x:v>
      </x:c>
      <x:c r="I49" s="102" t="n">
        <x:v>132</x:v>
      </x:c>
      <x:c r="J49" s="102" t="n">
        <x:v>47</x:v>
      </x:c>
      <x:c r="K49" s="104" t="n">
        <x:v>30</x:v>
      </x:c>
      <x:c r="L49" s="102" t="n">
        <x:f>D49/K49</x:f>
        <x:v>38.1</x:v>
      </x:c>
      <x:c r="M49" s="91" t="n">
        <x:f>E49/D49</x:f>
        <x:v>0.8766404199475065</x:v>
      </x:c>
      <x:c r="N49" t="str">
        <x:f>IF(OR(M49&lt;Assumptions!$B$5,F49&gt;Assumptions!$B$6,H49&gt;Assumptions!$B$7),"At Risk","On Track")</x:f>
        <x:v>At Risk</x:v>
      </x:c>
    </x:row>
    <x:row r="50">
      <x:c r="A50" s="100" t="n">
        <x:v>46076</x:v>
      </x:c>
      <x:c r="B50" t="str">
        <x:v>Risk Review</x:v>
      </x:c>
      <x:c r="C50" t="str">
        <x:v>Chat</x:v>
      </x:c>
      <x:c r="D50" s="104" t="n">
        <x:v>1576</x:v>
      </x:c>
      <x:c r="E50" s="104" t="n">
        <x:v>1293</x:v>
      </x:c>
      <x:c r="F50" s="102" t="n">
        <x:v>33.1</x:v>
      </x:c>
      <x:c r="G50" s="102" t="n">
        <x:v>359</x:v>
      </x:c>
      <x:c r="H50" s="102" t="n">
        <x:v>105.3</x:v>
      </x:c>
      <x:c r="I50" s="102" t="n">
        <x:v>139</x:v>
      </x:c>
      <x:c r="J50" s="102" t="n">
        <x:v>97</x:v>
      </x:c>
      <x:c r="K50" s="104" t="n">
        <x:v>19</x:v>
      </x:c>
      <x:c r="L50" s="102" t="n">
        <x:f>D50/K50</x:f>
        <x:v>82.94736842105263</x:v>
      </x:c>
      <x:c r="M50" s="91" t="n">
        <x:f>E50/D50</x:f>
        <x:v>0.8204314720812182</x:v>
      </x:c>
      <x:c r="N50" t="str">
        <x:f>IF(OR(M50&lt;Assumptions!$B$5,F50&gt;Assumptions!$B$6,H50&gt;Assumptions!$B$7),"At Risk","On Track")</x:f>
        <x:v>At Risk</x:v>
      </x:c>
    </x:row>
    <x:row r="51">
      <x:c r="A51" s="100" t="n">
        <x:v>46076</x:v>
      </x:c>
      <x:c r="B51" t="str">
        <x:v>Finance Ops</x:v>
      </x:c>
      <x:c r="C51" t="str">
        <x:v>Email</x:v>
      </x:c>
      <x:c r="D51" s="104" t="n">
        <x:v>1492</x:v>
      </x:c>
      <x:c r="E51" s="104" t="n">
        <x:v>1324</x:v>
      </x:c>
      <x:c r="F51" s="102" t="n">
        <x:v>33.1</x:v>
      </x:c>
      <x:c r="G51" s="102" t="n">
        <x:v>260</x:v>
      </x:c>
      <x:c r="H51" s="102" t="n">
        <x:v>118.9</x:v>
      </x:c>
      <x:c r="I51" s="102" t="n">
        <x:v>176</x:v>
      </x:c>
      <x:c r="J51" s="102" t="n">
        <x:v>139</x:v>
      </x:c>
      <x:c r="K51" s="104" t="n">
        <x:v>24</x:v>
      </x:c>
      <x:c r="L51" s="102" t="n">
        <x:f>D51/K51</x:f>
        <x:v>62.166666666666664</x:v>
      </x:c>
      <x:c r="M51" s="91" t="n">
        <x:f>E51/D51</x:f>
        <x:v>0.8873994638069705</x:v>
      </x:c>
      <x:c r="N51" t="str">
        <x:f>IF(OR(M51&lt;Assumptions!$B$5,F51&gt;Assumptions!$B$6,H51&gt;Assumptions!$B$7),"At Risk","On Track")</x:f>
        <x:v>At Risk</x:v>
      </x:c>
    </x:row>
    <x:row r="52">
      <x:c r="A52" s="100" t="n">
        <x:v>46076</x:v>
      </x:c>
      <x:c r="B52" t="str">
        <x:v>Vendor Ops</x:v>
      </x:c>
      <x:c r="C52" t="str">
        <x:v>Chat</x:v>
      </x:c>
      <x:c r="D52" s="104" t="n">
        <x:v>771</x:v>
      </x:c>
      <x:c r="E52" s="104" t="n">
        <x:v>701</x:v>
      </x:c>
      <x:c r="F52" s="102" t="n">
        <x:v>18.7</x:v>
      </x:c>
      <x:c r="G52" s="102" t="n">
        <x:v>153</x:v>
      </x:c>
      <x:c r="H52" s="102" t="n">
        <x:v>42</x:v>
      </x:c>
      <x:c r="I52" s="102" t="n">
        <x:v>46</x:v>
      </x:c>
      <x:c r="J52" s="102" t="n">
        <x:v>56</x:v>
      </x:c>
      <x:c r="K52" s="104" t="n">
        <x:v>26</x:v>
      </x:c>
      <x:c r="L52" s="102" t="n">
        <x:f>D52/K52</x:f>
        <x:v>29.653846153846153</x:v>
      </x:c>
      <x:c r="M52" s="91" t="n">
        <x:f>E52/D52</x:f>
        <x:v>0.9092088197146563</x:v>
      </x:c>
      <x:c r="N52" t="str">
        <x:f>IF(OR(M52&lt;Assumptions!$B$5,F52&gt;Assumptions!$B$6,H52&gt;Assumptions!$B$7),"At Risk","On Track")</x:f>
        <x:v>On Track</x:v>
      </x:c>
    </x:row>
    <x:row r="53">
      <x:c r="A53" s="100" t="n">
        <x:v>46083</x:v>
      </x:c>
      <x:c r="B53" t="str">
        <x:v>KYC Ops</x:v>
      </x:c>
      <x:c r="C53" t="str">
        <x:v>Email</x:v>
      </x:c>
      <x:c r="D53" s="104" t="n">
        <x:v>1685</x:v>
      </x:c>
      <x:c r="E53" s="104" t="n">
        <x:v>1447</x:v>
      </x:c>
      <x:c r="F53" s="102" t="n">
        <x:v>42.4</x:v>
      </x:c>
      <x:c r="G53" s="102" t="n">
        <x:v>255</x:v>
      </x:c>
      <x:c r="H53" s="102" t="n">
        <x:v>57.1</x:v>
      </x:c>
      <x:c r="I53" s="102" t="n">
        <x:v>202</x:v>
      </x:c>
      <x:c r="J53" s="102" t="n">
        <x:v>126</x:v>
      </x:c>
      <x:c r="K53" s="104" t="n">
        <x:v>32</x:v>
      </x:c>
      <x:c r="L53" s="102" t="n">
        <x:f>D53/K53</x:f>
        <x:v>52.65625</x:v>
      </x:c>
      <x:c r="M53" s="91" t="n">
        <x:f>E53/D53</x:f>
        <x:v>0.8587537091988131</x:v>
      </x:c>
      <x:c r="N53" t="str">
        <x:f>IF(OR(M53&lt;Assumptions!$B$5,F53&gt;Assumptions!$B$6,H53&gt;Assumptions!$B$7),"At Risk","On Track")</x:f>
        <x:v>At Risk</x:v>
      </x:c>
    </x:row>
    <x:row r="54">
      <x:c r="A54" s="100" t="n">
        <x:v>46083</x:v>
      </x:c>
      <x:c r="B54" t="str">
        <x:v>Payments Ops</x:v>
      </x:c>
      <x:c r="C54" t="str">
        <x:v>Email</x:v>
      </x:c>
      <x:c r="D54" s="104" t="n">
        <x:v>682</x:v>
      </x:c>
      <x:c r="E54" s="104" t="n">
        <x:v>631</x:v>
      </x:c>
      <x:c r="F54" s="102" t="n">
        <x:v>35</x:v>
      </x:c>
      <x:c r="G54" s="102" t="n">
        <x:v>86</x:v>
      </x:c>
      <x:c r="H54" s="102" t="n">
        <x:v>85.4</x:v>
      </x:c>
      <x:c r="I54" s="102" t="n">
        <x:v>61</x:v>
      </x:c>
      <x:c r="J54" s="102" t="n">
        <x:v>43</x:v>
      </x:c>
      <x:c r="K54" s="104" t="n">
        <x:v>27</x:v>
      </x:c>
      <x:c r="L54" s="102" t="n">
        <x:f>D54/K54</x:f>
        <x:v>25.25925925925926</x:v>
      </x:c>
      <x:c r="M54" s="91" t="n">
        <x:f>E54/D54</x:f>
        <x:v>0.9252199413489736</x:v>
      </x:c>
      <x:c r="N54" t="str">
        <x:f>IF(OR(M54&lt;Assumptions!$B$5,F54&gt;Assumptions!$B$6,H54&gt;Assumptions!$B$7),"At Risk","On Track")</x:f>
        <x:v>At Risk</x:v>
      </x:c>
    </x:row>
    <x:row r="55">
      <x:c r="A55" s="100" t="n">
        <x:v>46083</x:v>
      </x:c>
      <x:c r="B55" t="str">
        <x:v>Customer Support</x:v>
      </x:c>
      <x:c r="C55" t="str">
        <x:v>Chat</x:v>
      </x:c>
      <x:c r="D55" s="104" t="n">
        <x:v>1484</x:v>
      </x:c>
      <x:c r="E55" s="104" t="n">
        <x:v>1362</x:v>
      </x:c>
      <x:c r="F55" s="102" t="n">
        <x:v>31.3</x:v>
      </x:c>
      <x:c r="G55" s="102" t="n">
        <x:v>77</x:v>
      </x:c>
      <x:c r="H55" s="102" t="n">
        <x:v>70</x:v>
      </x:c>
      <x:c r="I55" s="102" t="n">
        <x:v>173</x:v>
      </x:c>
      <x:c r="J55" s="102" t="n">
        <x:v>165</x:v>
      </x:c>
      <x:c r="K55" s="104" t="n">
        <x:v>17</x:v>
      </x:c>
      <x:c r="L55" s="102" t="n">
        <x:f>D55/K55</x:f>
        <x:v>87.29411764705883</x:v>
      </x:c>
      <x:c r="M55" s="91" t="n">
        <x:f>E55/D55</x:f>
        <x:v>0.9177897574123989</x:v>
      </x:c>
      <x:c r="N55" t="str">
        <x:f>IF(OR(M55&lt;Assumptions!$B$5,F55&gt;Assumptions!$B$6,H55&gt;Assumptions!$B$7),"At Risk","On Track")</x:f>
        <x:v>At Risk</x:v>
      </x:c>
    </x:row>
    <x:row r="56">
      <x:c r="A56" s="100" t="n">
        <x:v>46083</x:v>
      </x:c>
      <x:c r="B56" t="str">
        <x:v>Risk Review</x:v>
      </x:c>
      <x:c r="C56" t="str">
        <x:v>Portal</x:v>
      </x:c>
      <x:c r="D56" s="104" t="n">
        <x:v>821</x:v>
      </x:c>
      <x:c r="E56" s="104" t="n">
        <x:v>739</x:v>
      </x:c>
      <x:c r="F56" s="102" t="n">
        <x:v>34.6</x:v>
      </x:c>
      <x:c r="G56" s="102" t="n">
        <x:v>182</x:v>
      </x:c>
      <x:c r="H56" s="102" t="n">
        <x:v>108.9</x:v>
      </x:c>
      <x:c r="I56" s="102" t="n">
        <x:v>58</x:v>
      </x:c>
      <x:c r="J56" s="102" t="n">
        <x:v>91</x:v>
      </x:c>
      <x:c r="K56" s="104" t="n">
        <x:v>14</x:v>
      </x:c>
      <x:c r="L56" s="102" t="n">
        <x:f>D56/K56</x:f>
        <x:v>58.642857142857146</x:v>
      </x:c>
      <x:c r="M56" s="91" t="n">
        <x:f>E56/D56</x:f>
        <x:v>0.9001218026796589</x:v>
      </x:c>
      <x:c r="N56" t="str">
        <x:f>IF(OR(M56&lt;Assumptions!$B$5,F56&gt;Assumptions!$B$6,H56&gt;Assumptions!$B$7),"At Risk","On Track")</x:f>
        <x:v>At Risk</x:v>
      </x:c>
    </x:row>
    <x:row r="57">
      <x:c r="A57" s="100" t="n">
        <x:v>46083</x:v>
      </x:c>
      <x:c r="B57" t="str">
        <x:v>Finance Ops</x:v>
      </x:c>
      <x:c r="C57" t="str">
        <x:v>Internal Queue</x:v>
      </x:c>
      <x:c r="D57" s="104" t="n">
        <x:v>808</x:v>
      </x:c>
      <x:c r="E57" s="104" t="n">
        <x:v>741</x:v>
      </x:c>
      <x:c r="F57" s="102" t="n">
        <x:v>22</x:v>
      </x:c>
      <x:c r="G57" s="102" t="n">
        <x:v>210</x:v>
      </x:c>
      <x:c r="H57" s="102" t="n">
        <x:v>87</x:v>
      </x:c>
      <x:c r="I57" s="102" t="n">
        <x:v>95</x:v>
      </x:c>
      <x:c r="J57" s="102" t="n">
        <x:v>95</x:v>
      </x:c>
      <x:c r="K57" s="104" t="n">
        <x:v>23</x:v>
      </x:c>
      <x:c r="L57" s="102" t="n">
        <x:f>D57/K57</x:f>
        <x:v>35.130434782608695</x:v>
      </x:c>
      <x:c r="M57" s="91" t="n">
        <x:f>E57/D57</x:f>
        <x:v>0.9170792079207921</x:v>
      </x:c>
      <x:c r="N57" t="str">
        <x:f>IF(OR(M57&lt;Assumptions!$B$5,F57&gt;Assumptions!$B$6,H57&gt;Assumptions!$B$7),"At Risk","On Track")</x:f>
        <x:v>At Risk</x:v>
      </x:c>
    </x:row>
    <x:row r="58">
      <x:c r="A58" s="100" t="n">
        <x:v>46083</x:v>
      </x:c>
      <x:c r="B58" t="str">
        <x:v>Vendor Ops</x:v>
      </x:c>
      <x:c r="C58" t="str">
        <x:v>Internal Queue</x:v>
      </x:c>
      <x:c r="D58" s="104" t="n">
        <x:v>1358</x:v>
      </x:c>
      <x:c r="E58" s="104" t="n">
        <x:v>1126</x:v>
      </x:c>
      <x:c r="F58" s="102" t="n">
        <x:v>33.1</x:v>
      </x:c>
      <x:c r="G58" s="102" t="n">
        <x:v>347</x:v>
      </x:c>
      <x:c r="H58" s="102" t="n">
        <x:v>71.2</x:v>
      </x:c>
      <x:c r="I58" s="102" t="n">
        <x:v>123</x:v>
      </x:c>
      <x:c r="J58" s="102" t="n">
        <x:v>166</x:v>
      </x:c>
      <x:c r="K58" s="104" t="n">
        <x:v>16</x:v>
      </x:c>
      <x:c r="L58" s="102" t="n">
        <x:f>D58/K58</x:f>
        <x:v>84.875</x:v>
      </x:c>
      <x:c r="M58" s="91" t="n">
        <x:f>E58/D58</x:f>
        <x:v>0.8291605301914581</x:v>
      </x:c>
      <x:c r="N58" t="str">
        <x:f>IF(OR(M58&lt;Assumptions!$B$5,F58&gt;Assumptions!$B$6,H58&gt;Assumptions!$B$7),"At Risk","On Track")</x:f>
        <x:v>At Risk</x:v>
      </x:c>
    </x:row>
    <x:row r="59">
      <x:c r="A59" s="100" t="n">
        <x:v>46090</x:v>
      </x:c>
      <x:c r="B59" t="str">
        <x:v>KYC Ops</x:v>
      </x:c>
      <x:c r="C59" t="str">
        <x:v>Portal</x:v>
      </x:c>
      <x:c r="D59" s="104" t="n">
        <x:v>1427</x:v>
      </x:c>
      <x:c r="E59" s="104" t="n">
        <x:v>1363</x:v>
      </x:c>
      <x:c r="F59" s="102" t="n">
        <x:v>21.4</x:v>
      </x:c>
      <x:c r="G59" s="102" t="n">
        <x:v>172</x:v>
      </x:c>
      <x:c r="H59" s="102" t="n">
        <x:v>105.4</x:v>
      </x:c>
      <x:c r="I59" s="102" t="n">
        <x:v>151</x:v>
      </x:c>
      <x:c r="J59" s="102" t="n">
        <x:v>141</x:v>
      </x:c>
      <x:c r="K59" s="104" t="n">
        <x:v>22</x:v>
      </x:c>
      <x:c r="L59" s="102" t="n">
        <x:f>D59/K59</x:f>
        <x:v>64.86363636363636</x:v>
      </x:c>
      <x:c r="M59" s="91" t="n">
        <x:f>E59/D59</x:f>
        <x:v>0.9551506657323056</x:v>
      </x:c>
      <x:c r="N59" t="str">
        <x:f>IF(OR(M59&lt;Assumptions!$B$5,F59&gt;Assumptions!$B$6,H59&gt;Assumptions!$B$7),"At Risk","On Track")</x:f>
        <x:v>At Risk</x:v>
      </x:c>
    </x:row>
    <x:row r="60">
      <x:c r="A60" s="100" t="n">
        <x:v>46090</x:v>
      </x:c>
      <x:c r="B60" t="str">
        <x:v>Payments Ops</x:v>
      </x:c>
      <x:c r="C60" t="str">
        <x:v>Chat</x:v>
      </x:c>
      <x:c r="D60" s="104" t="n">
        <x:v>777</x:v>
      </x:c>
      <x:c r="E60" s="104" t="n">
        <x:v>667</x:v>
      </x:c>
      <x:c r="F60" s="102" t="n">
        <x:v>35</x:v>
      </x:c>
      <x:c r="G60" s="102" t="n">
        <x:v>357</x:v>
      </x:c>
      <x:c r="H60" s="102" t="n">
        <x:v>77.1</x:v>
      </x:c>
      <x:c r="I60" s="102" t="n">
        <x:v>51</x:v>
      </x:c>
      <x:c r="J60" s="102" t="n">
        <x:v>68</x:v>
      </x:c>
      <x:c r="K60" s="104" t="n">
        <x:v>23</x:v>
      </x:c>
      <x:c r="L60" s="102" t="n">
        <x:f>D60/K60</x:f>
        <x:v>33.78260869565217</x:v>
      </x:c>
      <x:c r="M60" s="91" t="n">
        <x:f>E60/D60</x:f>
        <x:v>0.8584298584298584</x:v>
      </x:c>
      <x:c r="N60" t="str">
        <x:f>IF(OR(M60&lt;Assumptions!$B$5,F60&gt;Assumptions!$B$6,H60&gt;Assumptions!$B$7),"At Risk","On Track")</x:f>
        <x:v>At Risk</x:v>
      </x:c>
    </x:row>
    <x:row r="61">
      <x:c r="A61" s="100" t="n">
        <x:v>46090</x:v>
      </x:c>
      <x:c r="B61" t="str">
        <x:v>Customer Support</x:v>
      </x:c>
      <x:c r="C61" t="str">
        <x:v>Internal Queue</x:v>
      </x:c>
      <x:c r="D61" s="104" t="n">
        <x:v>1640</x:v>
      </x:c>
      <x:c r="E61" s="104" t="n">
        <x:v>1546</x:v>
      </x:c>
      <x:c r="F61" s="102" t="n">
        <x:v>30</x:v>
      </x:c>
      <x:c r="G61" s="102" t="n">
        <x:v>105</x:v>
      </x:c>
      <x:c r="H61" s="102" t="n">
        <x:v>66.7</x:v>
      </x:c>
      <x:c r="I61" s="102" t="n">
        <x:v>133</x:v>
      </x:c>
      <x:c r="J61" s="102" t="n">
        <x:v>96</x:v>
      </x:c>
      <x:c r="K61" s="104" t="n">
        <x:v>19</x:v>
      </x:c>
      <x:c r="L61" s="102" t="n">
        <x:f>D61/K61</x:f>
        <x:v>86.3157894736842</x:v>
      </x:c>
      <x:c r="M61" s="91" t="n">
        <x:f>E61/D61</x:f>
        <x:v>0.9426829268292682</x:v>
      </x:c>
      <x:c r="N61" t="str">
        <x:f>IF(OR(M61&lt;Assumptions!$B$5,F61&gt;Assumptions!$B$6,H61&gt;Assumptions!$B$7),"At Risk","On Track")</x:f>
        <x:v>At Risk</x:v>
      </x:c>
    </x:row>
    <x:row r="62">
      <x:c r="A62" s="100" t="n">
        <x:v>46090</x:v>
      </x:c>
      <x:c r="B62" t="str">
        <x:v>Risk Review</x:v>
      </x:c>
      <x:c r="C62" t="str">
        <x:v>Chat</x:v>
      </x:c>
      <x:c r="D62" s="104" t="n">
        <x:v>1600</x:v>
      </x:c>
      <x:c r="E62" s="104" t="n">
        <x:v>1436</x:v>
      </x:c>
      <x:c r="F62" s="102" t="n">
        <x:v>28.6</x:v>
      </x:c>
      <x:c r="G62" s="102" t="n">
        <x:v>422</x:v>
      </x:c>
      <x:c r="H62" s="102" t="n">
        <x:v>74.9</x:v>
      </x:c>
      <x:c r="I62" s="102" t="n">
        <x:v>101</x:v>
      </x:c>
      <x:c r="J62" s="102" t="n">
        <x:v>128</x:v>
      </x:c>
      <x:c r="K62" s="104" t="n">
        <x:v>19</x:v>
      </x:c>
      <x:c r="L62" s="102" t="n">
        <x:f>D62/K62</x:f>
        <x:v>84.21052631578948</x:v>
      </x:c>
      <x:c r="M62" s="91" t="n">
        <x:f>E62/D62</x:f>
        <x:v>0.8975</x:v>
      </x:c>
      <x:c r="N62" t="str">
        <x:f>IF(OR(M62&lt;Assumptions!$B$5,F62&gt;Assumptions!$B$6,H62&gt;Assumptions!$B$7),"At Risk","On Track")</x:f>
        <x:v>At Risk</x:v>
      </x:c>
    </x:row>
    <x:row r="63">
      <x:c r="A63" s="100" t="n">
        <x:v>46090</x:v>
      </x:c>
      <x:c r="B63" t="str">
        <x:v>Finance Ops</x:v>
      </x:c>
      <x:c r="C63" t="str">
        <x:v>Chat</x:v>
      </x:c>
      <x:c r="D63" s="104" t="n">
        <x:v>1355</x:v>
      </x:c>
      <x:c r="E63" s="104" t="n">
        <x:v>1200</x:v>
      </x:c>
      <x:c r="F63" s="102" t="n">
        <x:v>34</x:v>
      </x:c>
      <x:c r="G63" s="102" t="n">
        <x:v>339</x:v>
      </x:c>
      <x:c r="H63" s="102" t="n">
        <x:v>77.3</x:v>
      </x:c>
      <x:c r="I63" s="102" t="n">
        <x:v>87</x:v>
      </x:c>
      <x:c r="J63" s="102" t="n">
        <x:v>85</x:v>
      </x:c>
      <x:c r="K63" s="104" t="n">
        <x:v>18</x:v>
      </x:c>
      <x:c r="L63" s="102" t="n">
        <x:f>D63/K63</x:f>
        <x:v>75.27777777777777</x:v>
      </x:c>
      <x:c r="M63" s="91" t="n">
        <x:f>E63/D63</x:f>
        <x:v>0.8856088560885609</x:v>
      </x:c>
      <x:c r="N63" t="str">
        <x:f>IF(OR(M63&lt;Assumptions!$B$5,F63&gt;Assumptions!$B$6,H63&gt;Assumptions!$B$7),"At Risk","On Track")</x:f>
        <x:v>At Risk</x:v>
      </x:c>
    </x:row>
    <x:row r="64">
      <x:c r="A64" s="100" t="n">
        <x:v>46090</x:v>
      </x:c>
      <x:c r="B64" t="str">
        <x:v>Vendor Ops</x:v>
      </x:c>
      <x:c r="C64" t="str">
        <x:v>Chat</x:v>
      </x:c>
      <x:c r="D64" s="104" t="n">
        <x:v>844</x:v>
      </x:c>
      <x:c r="E64" s="104" t="n">
        <x:v>779</x:v>
      </x:c>
      <x:c r="F64" s="102" t="n">
        <x:v>35</x:v>
      </x:c>
      <x:c r="G64" s="102" t="n">
        <x:v>211</x:v>
      </x:c>
      <x:c r="H64" s="102" t="n">
        <x:v>61.5</x:v>
      </x:c>
      <x:c r="I64" s="102" t="n">
        <x:v>66</x:v>
      </x:c>
      <x:c r="J64" s="102" t="n">
        <x:v>94</x:v>
      </x:c>
      <x:c r="K64" s="104" t="n">
        <x:v>28</x:v>
      </x:c>
      <x:c r="L64" s="102" t="n">
        <x:f>D64/K64</x:f>
        <x:v>30.142857142857142</x:v>
      </x:c>
      <x:c r="M64" s="91" t="n">
        <x:f>E64/D64</x:f>
        <x:v>0.9229857819905213</x:v>
      </x:c>
      <x:c r="N64" t="str">
        <x:f>IF(OR(M64&lt;Assumptions!$B$5,F64&gt;Assumptions!$B$6,H64&gt;Assumptions!$B$7),"At Risk","On Track")</x:f>
        <x:v>At Risk</x:v>
      </x:c>
    </x:row>
    <x:row r="65">
      <x:c r="A65" s="100" t="n">
        <x:v>46097</x:v>
      </x:c>
      <x:c r="B65" t="str">
        <x:v>KYC Ops</x:v>
      </x:c>
      <x:c r="C65" t="str">
        <x:v>Internal Queue</x:v>
      </x:c>
      <x:c r="D65" s="104" t="n">
        <x:v>1104</x:v>
      </x:c>
      <x:c r="E65" s="104" t="n">
        <x:v>951</x:v>
      </x:c>
      <x:c r="F65" s="102" t="n">
        <x:v>29.6</x:v>
      </x:c>
      <x:c r="G65" s="102" t="n">
        <x:v>432</x:v>
      </x:c>
      <x:c r="H65" s="102" t="n">
        <x:v>54.3</x:v>
      </x:c>
      <x:c r="I65" s="102" t="n">
        <x:v>48</x:v>
      </x:c>
      <x:c r="J65" s="102" t="n">
        <x:v>76</x:v>
      </x:c>
      <x:c r="K65" s="104" t="n">
        <x:v>16</x:v>
      </x:c>
      <x:c r="L65" s="102" t="n">
        <x:f>D65/K65</x:f>
        <x:v>69</x:v>
      </x:c>
      <x:c r="M65" s="91" t="n">
        <x:f>E65/D65</x:f>
        <x:v>0.8614130434782609</x:v>
      </x:c>
      <x:c r="N65" t="str">
        <x:f>IF(OR(M65&lt;Assumptions!$B$5,F65&gt;Assumptions!$B$6,H65&gt;Assumptions!$B$7),"At Risk","On Track")</x:f>
        <x:v>At Risk</x:v>
      </x:c>
    </x:row>
    <x:row r="66">
      <x:c r="A66" s="100" t="n">
        <x:v>46097</x:v>
      </x:c>
      <x:c r="B66" t="str">
        <x:v>Payments Ops</x:v>
      </x:c>
      <x:c r="C66" t="str">
        <x:v>Internal Queue</x:v>
      </x:c>
      <x:c r="D66" s="104" t="n">
        <x:v>810</x:v>
      </x:c>
      <x:c r="E66" s="104" t="n">
        <x:v>763</x:v>
      </x:c>
      <x:c r="F66" s="102" t="n">
        <x:v>27.5</x:v>
      </x:c>
      <x:c r="G66" s="102" t="n">
        <x:v>155</x:v>
      </x:c>
      <x:c r="H66" s="102" t="n">
        <x:v>61.6</x:v>
      </x:c>
      <x:c r="I66" s="102" t="n">
        <x:v>54</x:v>
      </x:c>
      <x:c r="J66" s="102" t="n">
        <x:v>110</x:v>
      </x:c>
      <x:c r="K66" s="104" t="n">
        <x:v>20</x:v>
      </x:c>
      <x:c r="L66" s="102" t="n">
        <x:f>D66/K66</x:f>
        <x:v>40.5</x:v>
      </x:c>
      <x:c r="M66" s="91" t="n">
        <x:f>E66/D66</x:f>
        <x:v>0.9419753086419753</x:v>
      </x:c>
      <x:c r="N66" t="str">
        <x:f>IF(OR(M66&lt;Assumptions!$B$5,F66&gt;Assumptions!$B$6,H66&gt;Assumptions!$B$7),"At Risk","On Track")</x:f>
        <x:v>At Risk</x:v>
      </x:c>
    </x:row>
    <x:row r="67">
      <x:c r="A67" s="100" t="n">
        <x:v>46097</x:v>
      </x:c>
      <x:c r="B67" t="str">
        <x:v>Customer Support</x:v>
      </x:c>
      <x:c r="C67" t="str">
        <x:v>Internal Queue</x:v>
      </x:c>
      <x:c r="D67" s="104" t="n">
        <x:v>1066</x:v>
      </x:c>
      <x:c r="E67" s="104" t="n">
        <x:v>933</x:v>
      </x:c>
      <x:c r="F67" s="102" t="n">
        <x:v>26.5</x:v>
      </x:c>
      <x:c r="G67" s="102" t="n">
        <x:v>166</x:v>
      </x:c>
      <x:c r="H67" s="102" t="n">
        <x:v>66.1</x:v>
      </x:c>
      <x:c r="I67" s="102" t="n">
        <x:v>68</x:v>
      </x:c>
      <x:c r="J67" s="102" t="n">
        <x:v>148</x:v>
      </x:c>
      <x:c r="K67" s="104" t="n">
        <x:v>15</x:v>
      </x:c>
      <x:c r="L67" s="102" t="n">
        <x:f>D67/K67</x:f>
        <x:v>71.06666666666666</x:v>
      </x:c>
      <x:c r="M67" s="91" t="n">
        <x:f>E67/D67</x:f>
        <x:v>0.875234521575985</x:v>
      </x:c>
      <x:c r="N67" t="str">
        <x:f>IF(OR(M67&lt;Assumptions!$B$5,F67&gt;Assumptions!$B$6,H67&gt;Assumptions!$B$7),"At Risk","On Track")</x:f>
        <x:v>At Risk</x:v>
      </x:c>
    </x:row>
    <x:row r="68">
      <x:c r="A68" s="100" t="n">
        <x:v>46097</x:v>
      </x:c>
      <x:c r="B68" t="str">
        <x:v>Risk Review</x:v>
      </x:c>
      <x:c r="C68" t="str">
        <x:v>Email</x:v>
      </x:c>
      <x:c r="D68" s="104" t="n">
        <x:v>1062</x:v>
      </x:c>
      <x:c r="E68" s="104" t="n">
        <x:v>986</x:v>
      </x:c>
      <x:c r="F68" s="102" t="n">
        <x:v>23.6</x:v>
      </x:c>
      <x:c r="G68" s="102" t="n">
        <x:v>148</x:v>
      </x:c>
      <x:c r="H68" s="102" t="n">
        <x:v>49.6</x:v>
      </x:c>
      <x:c r="I68" s="102" t="n">
        <x:v>92</x:v>
      </x:c>
      <x:c r="J68" s="102" t="n">
        <x:v>88</x:v>
      </x:c>
      <x:c r="K68" s="104" t="n">
        <x:v>30</x:v>
      </x:c>
      <x:c r="L68" s="102" t="n">
        <x:f>D68/K68</x:f>
        <x:v>35.4</x:v>
      </x:c>
      <x:c r="M68" s="91" t="n">
        <x:f>E68/D68</x:f>
        <x:v>0.928436911487759</x:v>
      </x:c>
      <x:c r="N68" t="str">
        <x:f>IF(OR(M68&lt;Assumptions!$B$5,F68&gt;Assumptions!$B$6,H68&gt;Assumptions!$B$7),"At Risk","On Track")</x:f>
        <x:v>On Track</x:v>
      </x:c>
    </x:row>
    <x:row r="69">
      <x:c r="A69" s="100" t="n">
        <x:v>46097</x:v>
      </x:c>
      <x:c r="B69" t="str">
        <x:v>Finance Ops</x:v>
      </x:c>
      <x:c r="C69" t="str">
        <x:v>Email</x:v>
      </x:c>
      <x:c r="D69" s="104" t="n">
        <x:v>803</x:v>
      </x:c>
      <x:c r="E69" s="104" t="n">
        <x:v>764</x:v>
      </x:c>
      <x:c r="F69" s="102" t="n">
        <x:v>20.2</x:v>
      </x:c>
      <x:c r="G69" s="102" t="n">
        <x:v>89</x:v>
      </x:c>
      <x:c r="H69" s="102" t="n">
        <x:v>47.5</x:v>
      </x:c>
      <x:c r="I69" s="102" t="n">
        <x:v>37</x:v>
      </x:c>
      <x:c r="J69" s="102" t="n">
        <x:v>51</x:v>
      </x:c>
      <x:c r="K69" s="104" t="n">
        <x:v>29</x:v>
      </x:c>
      <x:c r="L69" s="102" t="n">
        <x:f>D69/K69</x:f>
        <x:v>27.689655172413794</x:v>
      </x:c>
      <x:c r="M69" s="91" t="n">
        <x:f>E69/D69</x:f>
        <x:v>0.9514321295143213</x:v>
      </x:c>
      <x:c r="N69" t="str">
        <x:f>IF(OR(M69&lt;Assumptions!$B$5,F69&gt;Assumptions!$B$6,H69&gt;Assumptions!$B$7),"At Risk","On Track")</x:f>
        <x:v>On Track</x:v>
      </x:c>
    </x:row>
    <x:row r="70">
      <x:c r="A70" s="100" t="n">
        <x:v>46097</x:v>
      </x:c>
      <x:c r="B70" t="str">
        <x:v>Vendor Ops</x:v>
      </x:c>
      <x:c r="C70" t="str">
        <x:v>Chat</x:v>
      </x:c>
      <x:c r="D70" s="104" t="n">
        <x:v>920</x:v>
      </x:c>
      <x:c r="E70" s="104" t="n">
        <x:v>754</x:v>
      </x:c>
      <x:c r="F70" s="102" t="n">
        <x:v>33.8</x:v>
      </x:c>
      <x:c r="G70" s="102" t="n">
        <x:v>197</x:v>
      </x:c>
      <x:c r="H70" s="102" t="n">
        <x:v>74.4</x:v>
      </x:c>
      <x:c r="I70" s="102" t="n">
        <x:v>88</x:v>
      </x:c>
      <x:c r="J70" s="102" t="n">
        <x:v>78</x:v>
      </x:c>
      <x:c r="K70" s="104" t="n">
        <x:v>19</x:v>
      </x:c>
      <x:c r="L70" s="102" t="n">
        <x:f>D70/K70</x:f>
        <x:v>48.421052631578945</x:v>
      </x:c>
      <x:c r="M70" s="91" t="n">
        <x:f>E70/D70</x:f>
        <x:v>0.8195652173913044</x:v>
      </x:c>
      <x:c r="N70" t="str">
        <x:f>IF(OR(M70&lt;Assumptions!$B$5,F70&gt;Assumptions!$B$6,H70&gt;Assumptions!$B$7),"At Risk","On Track")</x:f>
        <x:v>At Risk</x:v>
      </x:c>
    </x:row>
    <x:row r="71">
      <x:c r="A71" s="100" t="n">
        <x:v>46104</x:v>
      </x:c>
      <x:c r="B71" t="str">
        <x:v>KYC Ops</x:v>
      </x:c>
      <x:c r="C71" t="str">
        <x:v>Chat</x:v>
      </x:c>
      <x:c r="D71" s="104" t="n">
        <x:v>1422</x:v>
      </x:c>
      <x:c r="E71" s="104" t="n">
        <x:v>1188</x:v>
      </x:c>
      <x:c r="F71" s="102" t="n">
        <x:v>25.7</x:v>
      </x:c>
      <x:c r="G71" s="102" t="n">
        <x:v>219</x:v>
      </x:c>
      <x:c r="H71" s="102" t="n">
        <x:v>53</x:v>
      </x:c>
      <x:c r="I71" s="102" t="n">
        <x:v>91</x:v>
      </x:c>
      <x:c r="J71" s="102" t="n">
        <x:v>163</x:v>
      </x:c>
      <x:c r="K71" s="104" t="n">
        <x:v>30</x:v>
      </x:c>
      <x:c r="L71" s="102" t="n">
        <x:f>D71/K71</x:f>
        <x:v>47.4</x:v>
      </x:c>
      <x:c r="M71" s="91" t="n">
        <x:f>E71/D71</x:f>
        <x:v>0.8354430379746836</x:v>
      </x:c>
      <x:c r="N71" t="str">
        <x:f>IF(OR(M71&lt;Assumptions!$B$5,F71&gt;Assumptions!$B$6,H71&gt;Assumptions!$B$7),"At Risk","On Track")</x:f>
        <x:v>At Risk</x:v>
      </x:c>
    </x:row>
    <x:row r="72">
      <x:c r="A72" s="100" t="n">
        <x:v>46104</x:v>
      </x:c>
      <x:c r="B72" t="str">
        <x:v>Payments Ops</x:v>
      </x:c>
      <x:c r="C72" t="str">
        <x:v>Chat</x:v>
      </x:c>
      <x:c r="D72" s="104" t="n">
        <x:v>1499</x:v>
      </x:c>
      <x:c r="E72" s="104" t="n">
        <x:v>1255</x:v>
      </x:c>
      <x:c r="F72" s="102" t="n">
        <x:v>39.4</x:v>
      </x:c>
      <x:c r="G72" s="102" t="n">
        <x:v>312</x:v>
      </x:c>
      <x:c r="H72" s="102" t="n">
        <x:v>89.4</x:v>
      </x:c>
      <x:c r="I72" s="102" t="n">
        <x:v>131</x:v>
      </x:c>
      <x:c r="J72" s="102" t="n">
        <x:v>193</x:v>
      </x:c>
      <x:c r="K72" s="104" t="n">
        <x:v>22</x:v>
      </x:c>
      <x:c r="L72" s="102" t="n">
        <x:f>D72/K72</x:f>
        <x:v>68.13636363636364</x:v>
      </x:c>
      <x:c r="M72" s="91" t="n">
        <x:f>E72/D72</x:f>
        <x:v>0.8372248165443629</x:v>
      </x:c>
      <x:c r="N72" t="str">
        <x:f>IF(OR(M72&lt;Assumptions!$B$5,F72&gt;Assumptions!$B$6,H72&gt;Assumptions!$B$7),"At Risk","On Track")</x:f>
        <x:v>At Risk</x:v>
      </x:c>
    </x:row>
    <x:row r="73">
      <x:c r="A73" s="100" t="n">
        <x:v>46104</x:v>
      </x:c>
      <x:c r="B73" t="str">
        <x:v>Customer Support</x:v>
      </x:c>
      <x:c r="C73" t="str">
        <x:v>Internal Queue</x:v>
      </x:c>
      <x:c r="D73" s="104" t="n">
        <x:v>898</x:v>
      </x:c>
      <x:c r="E73" s="104" t="n">
        <x:v>765</x:v>
      </x:c>
      <x:c r="F73" s="102" t="n">
        <x:v>40.4</x:v>
      </x:c>
      <x:c r="G73" s="102" t="n">
        <x:v>270</x:v>
      </x:c>
      <x:c r="H73" s="102" t="n">
        <x:v>124.4</x:v>
      </x:c>
      <x:c r="I73" s="102" t="n">
        <x:v>55</x:v>
      </x:c>
      <x:c r="J73" s="102" t="n">
        <x:v>39</x:v>
      </x:c>
      <x:c r="K73" s="104" t="n">
        <x:v>17</x:v>
      </x:c>
      <x:c r="L73" s="102" t="n">
        <x:f>D73/K73</x:f>
        <x:v>52.8235294117647</x:v>
      </x:c>
      <x:c r="M73" s="91" t="n">
        <x:f>E73/D73</x:f>
        <x:v>0.8518930957683741</x:v>
      </x:c>
      <x:c r="N73" t="str">
        <x:f>IF(OR(M73&lt;Assumptions!$B$5,F73&gt;Assumptions!$B$6,H73&gt;Assumptions!$B$7),"At Risk","On Track")</x:f>
        <x:v>At Risk</x:v>
      </x:c>
    </x:row>
    <x:row r="74">
      <x:c r="A74" s="100" t="n">
        <x:v>46104</x:v>
      </x:c>
      <x:c r="B74" t="str">
        <x:v>Risk Review</x:v>
      </x:c>
      <x:c r="C74" t="str">
        <x:v>Internal Queue</x:v>
      </x:c>
      <x:c r="D74" s="104" t="n">
        <x:v>1662</x:v>
      </x:c>
      <x:c r="E74" s="104" t="n">
        <x:v>1514</x:v>
      </x:c>
      <x:c r="F74" s="102" t="n">
        <x:v>34.3</x:v>
      </x:c>
      <x:c r="G74" s="102" t="n">
        <x:v>81</x:v>
      </x:c>
      <x:c r="H74" s="102" t="n">
        <x:v>95.8</x:v>
      </x:c>
      <x:c r="I74" s="102" t="n">
        <x:v>124</x:v>
      </x:c>
      <x:c r="J74" s="102" t="n">
        <x:v>201</x:v>
      </x:c>
      <x:c r="K74" s="104" t="n">
        <x:v>14</x:v>
      </x:c>
      <x:c r="L74" s="102" t="n">
        <x:f>D74/K74</x:f>
        <x:v>118.71428571428571</x:v>
      </x:c>
      <x:c r="M74" s="91" t="n">
        <x:f>E74/D74</x:f>
        <x:v>0.910950661853189</x:v>
      </x:c>
      <x:c r="N74" t="str">
        <x:f>IF(OR(M74&lt;Assumptions!$B$5,F74&gt;Assumptions!$B$6,H74&gt;Assumptions!$B$7),"At Risk","On Track")</x:f>
        <x:v>At Risk</x:v>
      </x:c>
    </x:row>
    <x:row r="75">
      <x:c r="A75" s="100" t="n">
        <x:v>46104</x:v>
      </x:c>
      <x:c r="B75" t="str">
        <x:v>Finance Ops</x:v>
      </x:c>
      <x:c r="C75" t="str">
        <x:v>Email</x:v>
      </x:c>
      <x:c r="D75" s="104" t="n">
        <x:v>1312</x:v>
      </x:c>
      <x:c r="E75" s="104" t="n">
        <x:v>1150</x:v>
      </x:c>
      <x:c r="F75" s="102" t="n">
        <x:v>27.3</x:v>
      </x:c>
      <x:c r="G75" s="102" t="n">
        <x:v>240</x:v>
      </x:c>
      <x:c r="H75" s="102" t="n">
        <x:v>82.1</x:v>
      </x:c>
      <x:c r="I75" s="102" t="n">
        <x:v>122</x:v>
      </x:c>
      <x:c r="J75" s="102" t="n">
        <x:v>105</x:v>
      </x:c>
      <x:c r="K75" s="104" t="n">
        <x:v>29</x:v>
      </x:c>
      <x:c r="L75" s="102" t="n">
        <x:f>D75/K75</x:f>
        <x:v>45.241379310344826</x:v>
      </x:c>
      <x:c r="M75" s="91" t="n">
        <x:f>E75/D75</x:f>
        <x:v>0.8765243902439024</x:v>
      </x:c>
      <x:c r="N75" t="str">
        <x:f>IF(OR(M75&lt;Assumptions!$B$5,F75&gt;Assumptions!$B$6,H75&gt;Assumptions!$B$7),"At Risk","On Track")</x:f>
        <x:v>At Risk</x:v>
      </x:c>
    </x:row>
    <x:row r="76">
      <x:c r="A76" s="100" t="n">
        <x:v>46104</x:v>
      </x:c>
      <x:c r="B76" t="str">
        <x:v>Vendor Ops</x:v>
      </x:c>
      <x:c r="C76" t="str">
        <x:v>Portal</x:v>
      </x:c>
      <x:c r="D76" s="104" t="n">
        <x:v>1531</x:v>
      </x:c>
      <x:c r="E76" s="104" t="n">
        <x:v>1274</x:v>
      </x:c>
      <x:c r="F76" s="102" t="n">
        <x:v>26</x:v>
      </x:c>
      <x:c r="G76" s="102" t="n">
        <x:v>349</x:v>
      </x:c>
      <x:c r="H76" s="102" t="n">
        <x:v>99.5</x:v>
      </x:c>
      <x:c r="I76" s="102" t="n">
        <x:v>167</x:v>
      </x:c>
      <x:c r="J76" s="102" t="n">
        <x:v>131</x:v>
      </x:c>
      <x:c r="K76" s="104" t="n">
        <x:v>13</x:v>
      </x:c>
      <x:c r="L76" s="102" t="n">
        <x:f>D76/K76</x:f>
        <x:v>117.76923076923077</x:v>
      </x:c>
      <x:c r="M76" s="91" t="n">
        <x:f>E76/D76</x:f>
        <x:v>0.8321358589157414</x:v>
      </x:c>
      <x:c r="N76" t="str">
        <x:f>IF(OR(M76&lt;Assumptions!$B$5,F76&gt;Assumptions!$B$6,H76&gt;Assumptions!$B$7),"At Risk","On Track")</x:f>
        <x:v>At Risk</x:v>
      </x:c>
    </x:row>
    <x:row r="77">
      <x:c r="D77" s="104"/>
      <x:c r="E77" s="104"/>
      <x:c r="K77" s="104"/>
    </x:row>
    <x:row r="78">
      <x:c r="D78" s="104"/>
      <x:c r="E78" s="104"/>
      <x:c r="K78" s="104"/>
    </x:row>
    <x:row r="79">
      <x:c r="D79" s="104"/>
      <x:c r="E79" s="104"/>
      <x:c r="K79" s="104"/>
    </x:row>
    <x:row r="80">
      <x:c r="D80" s="104"/>
      <x:c r="E80" s="104"/>
      <x:c r="K80" s="104"/>
    </x:row>
    <x:row r="81">
      <x:c r="D81" s="104"/>
      <x:c r="E81" s="104"/>
      <x:c r="K81" s="104"/>
    </x:row>
    <x:row r="82">
      <x:c r="D82" s="104"/>
      <x:c r="E82" s="104"/>
      <x:c r="K82" s="104"/>
    </x:row>
    <x:row r="83">
      <x:c r="D83" s="104"/>
      <x:c r="E83" s="104"/>
      <x:c r="K83" s="104"/>
    </x:row>
    <x:row r="84">
      <x:c r="D84" s="104"/>
      <x:c r="E84" s="104"/>
      <x:c r="K84" s="104"/>
    </x:row>
    <x:row r="85">
      <x:c r="D85" s="104"/>
      <x:c r="E85" s="104"/>
      <x:c r="K85" s="104"/>
    </x:row>
    <x:row r="86">
      <x:c r="D86" s="104"/>
      <x:c r="E86" s="104"/>
      <x:c r="K86" s="104"/>
    </x:row>
    <x:row r="87">
      <x:c r="D87" s="104"/>
      <x:c r="E87" s="104"/>
      <x:c r="K87" s="104"/>
    </x:row>
    <x:row r="88">
      <x:c r="D88" s="104"/>
      <x:c r="E88" s="104"/>
      <x:c r="K88" s="104"/>
    </x:row>
    <x:row r="89">
      <x:c r="D89" s="104"/>
      <x:c r="E89" s="104"/>
      <x:c r="K89" s="104"/>
    </x:row>
    <x:row r="90">
      <x:c r="D90" s="104"/>
      <x:c r="E90" s="104"/>
      <x:c r="K90" s="104"/>
    </x:row>
    <x:row r="91">
      <x:c r="D91" s="104"/>
      <x:c r="E91" s="104"/>
      <x:c r="K91" s="104"/>
    </x:row>
    <x:row r="92">
      <x:c r="D92" s="104"/>
      <x:c r="E92" s="104"/>
      <x:c r="K92" s="104"/>
    </x:row>
    <x:row r="93">
      <x:c r="D93" s="104"/>
      <x:c r="E93" s="104"/>
      <x:c r="K93" s="104"/>
    </x:row>
    <x:row r="94">
      <x:c r="D94" s="104"/>
      <x:c r="E94" s="104"/>
      <x:c r="K94" s="104"/>
    </x:row>
    <x:row r="95">
      <x:c r="D95" s="104"/>
      <x:c r="E95" s="104"/>
      <x:c r="K95" s="104"/>
    </x:row>
    <x:row r="96">
      <x:c r="D96" s="104"/>
      <x:c r="E96" s="104"/>
      <x:c r="K96" s="104"/>
    </x:row>
    <x:row r="97">
      <x:c r="D97" s="104"/>
      <x:c r="E97" s="104"/>
      <x:c r="K97" s="104"/>
    </x:row>
    <x:row r="98">
      <x:c r="D98" s="104"/>
      <x:c r="E98" s="104"/>
      <x:c r="K98" s="104"/>
    </x:row>
    <x:row r="99">
      <x:c r="D99" s="104"/>
      <x:c r="E99" s="104"/>
      <x:c r="K99" s="104"/>
    </x:row>
    <x:row r="100">
      <x:c r="D100" s="104"/>
      <x:c r="E100" s="104"/>
      <x:c r="K100" s="104"/>
    </x:row>
    <x:row r="101">
      <x:c r="D101" s="104"/>
      <x:c r="E101" s="104"/>
      <x:c r="K101" s="104"/>
    </x:row>
    <x:row r="102">
      <x:c r="D102" s="104"/>
      <x:c r="E102" s="104"/>
      <x:c r="K102" s="104"/>
    </x:row>
    <x:row r="103">
      <x:c r="D103" s="104"/>
      <x:c r="E103" s="104"/>
      <x:c r="K103" s="104"/>
    </x:row>
    <x:row r="104">
      <x:c r="D104" s="104"/>
      <x:c r="E104" s="104"/>
      <x:c r="K104" s="104"/>
    </x:row>
    <x:row r="105">
      <x:c r="D105" s="104"/>
      <x:c r="E105" s="104"/>
      <x:c r="K105" s="104"/>
    </x:row>
    <x:row r="106">
      <x:c r="D106" s="104"/>
      <x:c r="E106" s="104"/>
      <x:c r="K106" s="104"/>
    </x:row>
    <x:row r="107">
      <x:c r="D107" s="104"/>
      <x:c r="E107" s="104"/>
      <x:c r="K107" s="104"/>
    </x:row>
    <x:row r="108">
      <x:c r="D108" s="104"/>
      <x:c r="E108" s="104"/>
      <x:c r="K108" s="104"/>
    </x:row>
    <x:row r="109">
      <x:c r="D109" s="104"/>
      <x:c r="E109" s="104"/>
      <x:c r="K109" s="104"/>
    </x:row>
    <x:row r="110">
      <x:c r="D110" s="104"/>
      <x:c r="E110" s="104"/>
      <x:c r="K110" s="104"/>
    </x:row>
    <x:row r="111">
      <x:c r="D111" s="104"/>
      <x:c r="E111" s="104"/>
      <x:c r="K111" s="104"/>
    </x:row>
    <x:row r="112">
      <x:c r="D112" s="104"/>
      <x:c r="E112" s="104"/>
      <x:c r="K112" s="104"/>
    </x:row>
    <x:row r="113">
      <x:c r="D113" s="104"/>
      <x:c r="E113" s="104"/>
      <x:c r="K113" s="104"/>
    </x:row>
    <x:row r="114">
      <x:c r="D114" s="104"/>
      <x:c r="E114" s="104"/>
      <x:c r="K114" s="104"/>
    </x:row>
    <x:row r="115">
      <x:c r="D115" s="104"/>
      <x:c r="E115" s="104"/>
      <x:c r="K115" s="104"/>
    </x:row>
    <x:row r="116">
      <x:c r="D116" s="104"/>
      <x:c r="E116" s="104"/>
      <x:c r="K116" s="104"/>
    </x:row>
    <x:row r="117">
      <x:c r="D117" s="104"/>
      <x:c r="E117" s="104"/>
      <x:c r="K117" s="104"/>
    </x:row>
    <x:row r="118">
      <x:c r="D118" s="104"/>
      <x:c r="E118" s="104"/>
      <x:c r="K118" s="104"/>
    </x:row>
    <x:row r="119">
      <x:c r="D119" s="104"/>
      <x:c r="E119" s="104"/>
      <x:c r="K119" s="104"/>
    </x:row>
    <x:row r="120">
      <x:c r="D120" s="104"/>
      <x:c r="E120" s="104"/>
      <x:c r="K120" s="104"/>
    </x:row>
    <x:row r="121">
      <x:c r="D121" s="104"/>
      <x:c r="E121" s="104"/>
      <x:c r="K121" s="104"/>
    </x:row>
    <x:row r="122">
      <x:c r="D122" s="104"/>
      <x:c r="E122" s="104"/>
      <x:c r="K122" s="104"/>
    </x:row>
    <x:row r="123">
      <x:c r="D123" s="104"/>
      <x:c r="E123" s="104"/>
      <x:c r="K123" s="104"/>
    </x:row>
    <x:row r="124">
      <x:c r="D124" s="104"/>
      <x:c r="E124" s="104"/>
      <x:c r="K124" s="104"/>
    </x:row>
    <x:row r="125">
      <x:c r="D125" s="104"/>
      <x:c r="E125" s="104"/>
      <x:c r="K125" s="104"/>
    </x:row>
    <x:row r="126">
      <x:c r="D126" s="104"/>
      <x:c r="E126" s="104"/>
      <x:c r="K126" s="104"/>
    </x:row>
    <x:row r="127">
      <x:c r="D127" s="104"/>
      <x:c r="E127" s="104"/>
      <x:c r="K127" s="104"/>
    </x:row>
    <x:row r="128">
      <x:c r="D128" s="104"/>
      <x:c r="E128" s="104"/>
      <x:c r="K128" s="104"/>
    </x:row>
    <x:row r="129">
      <x:c r="D129" s="104"/>
      <x:c r="E129" s="104"/>
      <x:c r="K129" s="104"/>
    </x:row>
    <x:row r="130">
      <x:c r="D130" s="104"/>
      <x:c r="E130" s="104"/>
      <x:c r="K130" s="104"/>
    </x:row>
    <x:row r="131">
      <x:c r="D131" s="104"/>
      <x:c r="E131" s="104"/>
      <x:c r="K131" s="104"/>
    </x:row>
    <x:row r="132">
      <x:c r="D132" s="104"/>
      <x:c r="E132" s="104"/>
      <x:c r="K132" s="104"/>
    </x:row>
    <x:row r="133">
      <x:c r="D133" s="104"/>
      <x:c r="E133" s="104"/>
      <x:c r="K133" s="104"/>
    </x:row>
    <x:row r="134">
      <x:c r="D134" s="104"/>
      <x:c r="E134" s="104"/>
      <x:c r="K134" s="104"/>
    </x:row>
    <x:row r="135">
      <x:c r="D135" s="104"/>
      <x:c r="E135" s="104"/>
      <x:c r="K135" s="104"/>
    </x:row>
    <x:row r="136">
      <x:c r="D136" s="104"/>
      <x:c r="E136" s="104"/>
      <x:c r="K136" s="104"/>
    </x:row>
    <x:row r="137">
      <x:c r="D137" s="104"/>
      <x:c r="E137" s="104"/>
      <x:c r="K137" s="104"/>
    </x:row>
    <x:row r="138">
      <x:c r="D138" s="104"/>
      <x:c r="E138" s="104"/>
      <x:c r="K138" s="104"/>
    </x:row>
    <x:row r="139">
      <x:c r="D139" s="104"/>
      <x:c r="E139" s="104"/>
      <x:c r="K139" s="104"/>
    </x:row>
    <x:row r="140">
      <x:c r="D140" s="104"/>
      <x:c r="E140" s="104"/>
      <x:c r="K140" s="104"/>
    </x:row>
    <x:row r="141">
      <x:c r="D141" s="104"/>
      <x:c r="E141" s="104"/>
      <x:c r="K141" s="104"/>
    </x:row>
    <x:row r="142">
      <x:c r="D142" s="104"/>
      <x:c r="E142" s="104"/>
      <x:c r="K142" s="104"/>
    </x:row>
    <x:row r="143">
      <x:c r="D143" s="104"/>
      <x:c r="E143" s="104"/>
      <x:c r="K143" s="104"/>
    </x:row>
    <x:row r="144">
      <x:c r="D144" s="104"/>
      <x:c r="E144" s="104"/>
      <x:c r="K144" s="104"/>
    </x:row>
    <x:row r="145">
      <x:c r="D145" s="104"/>
      <x:c r="E145" s="104"/>
      <x:c r="K145" s="104"/>
    </x:row>
    <x:row r="146">
      <x:c r="D146" s="104"/>
      <x:c r="E146" s="104"/>
      <x:c r="K146" s="104"/>
    </x:row>
    <x:row r="147">
      <x:c r="D147" s="104"/>
      <x:c r="E147" s="104"/>
      <x:c r="K147" s="104"/>
    </x:row>
    <x:row r="148">
      <x:c r="D148" s="104"/>
      <x:c r="E148" s="104"/>
      <x:c r="K148" s="104"/>
    </x:row>
    <x:row r="149">
      <x:c r="D149" s="104"/>
      <x:c r="E149" s="104"/>
      <x:c r="K149" s="104"/>
    </x:row>
    <x:row r="150">
      <x:c r="D150" s="104"/>
      <x:c r="E150" s="104"/>
      <x:c r="K150" s="104"/>
    </x:row>
    <x:row r="151">
      <x:c r="D151" s="104"/>
      <x:c r="E151" s="104"/>
      <x:c r="K151" s="104"/>
    </x:row>
    <x:row r="152">
      <x:c r="D152" s="104"/>
      <x:c r="E152" s="104"/>
      <x:c r="K152" s="104"/>
    </x:row>
    <x:row r="153">
      <x:c r="D153" s="104"/>
      <x:c r="E153" s="104"/>
      <x:c r="K153" s="104"/>
    </x:row>
    <x:row r="154">
      <x:c r="D154" s="104"/>
      <x:c r="E154" s="104"/>
      <x:c r="K154" s="104"/>
    </x:row>
    <x:row r="155">
      <x:c r="D155" s="104"/>
      <x:c r="E155" s="104"/>
      <x:c r="K155" s="104"/>
    </x:row>
    <x:row r="156">
      <x:c r="D156" s="104"/>
      <x:c r="E156" s="104"/>
      <x:c r="K156" s="104"/>
    </x:row>
    <x:row r="157">
      <x:c r="D157" s="104"/>
      <x:c r="E157" s="104"/>
      <x:c r="K157" s="104"/>
    </x:row>
    <x:row r="158">
      <x:c r="D158" s="104"/>
      <x:c r="E158" s="104"/>
      <x:c r="K158" s="104"/>
    </x:row>
    <x:row r="159">
      <x:c r="D159" s="104"/>
      <x:c r="E159" s="104"/>
      <x:c r="K159" s="104"/>
    </x:row>
    <x:row r="160">
      <x:c r="D160" s="104"/>
      <x:c r="E160" s="104"/>
      <x:c r="K160" s="104"/>
    </x:row>
    <x:row r="161">
      <x:c r="D161" s="104"/>
      <x:c r="E161" s="104"/>
      <x:c r="K161" s="104"/>
    </x:row>
    <x:row r="162">
      <x:c r="D162" s="104"/>
      <x:c r="E162" s="104"/>
      <x:c r="K162" s="104"/>
    </x:row>
    <x:row r="163">
      <x:c r="D163" s="104"/>
      <x:c r="E163" s="104"/>
      <x:c r="K163" s="104"/>
    </x:row>
    <x:row r="164">
      <x:c r="D164" s="104"/>
      <x:c r="E164" s="104"/>
      <x:c r="K164" s="104"/>
    </x:row>
    <x:row r="165">
      <x:c r="D165" s="104"/>
      <x:c r="E165" s="104"/>
      <x:c r="K165" s="104"/>
    </x:row>
    <x:row r="166">
      <x:c r="D166" s="104"/>
      <x:c r="E166" s="104"/>
      <x:c r="K166" s="104"/>
    </x:row>
    <x:row r="167">
      <x:c r="D167" s="104"/>
      <x:c r="E167" s="104"/>
      <x:c r="K167" s="104"/>
    </x:row>
    <x:row r="168">
      <x:c r="D168" s="104"/>
      <x:c r="E168" s="104"/>
      <x:c r="K168" s="104"/>
    </x:row>
    <x:row r="169">
      <x:c r="D169" s="104"/>
      <x:c r="E169" s="104"/>
      <x:c r="K169" s="104"/>
    </x:row>
    <x:row r="170">
      <x:c r="D170" s="104"/>
      <x:c r="E170" s="104"/>
      <x:c r="K170" s="104"/>
    </x:row>
    <x:row r="171">
      <x:c r="D171" s="104"/>
      <x:c r="E171" s="104"/>
      <x:c r="K171" s="104"/>
    </x:row>
    <x:row r="172">
      <x:c r="D172" s="104"/>
      <x:c r="E172" s="104"/>
      <x:c r="K172" s="104"/>
    </x:row>
    <x:row r="173">
      <x:c r="D173" s="104"/>
      <x:c r="E173" s="104"/>
      <x:c r="K173" s="104"/>
    </x:row>
    <x:row r="174">
      <x:c r="D174" s="104"/>
      <x:c r="E174" s="104"/>
      <x:c r="K174" s="104"/>
    </x:row>
    <x:row r="175">
      <x:c r="D175" s="104"/>
      <x:c r="E175" s="104"/>
      <x:c r="K175" s="104"/>
    </x:row>
    <x:row r="176">
      <x:c r="D176" s="104"/>
      <x:c r="E176" s="104"/>
      <x:c r="K176" s="104"/>
    </x:row>
    <x:row r="177">
      <x:c r="D177" s="104"/>
      <x:c r="E177" s="104"/>
      <x:c r="K177" s="104"/>
    </x:row>
    <x:row r="178">
      <x:c r="D178" s="104"/>
      <x:c r="E178" s="104"/>
      <x:c r="K178" s="104"/>
    </x:row>
    <x:row r="179">
      <x:c r="D179" s="104"/>
      <x:c r="E179" s="104"/>
      <x:c r="K179" s="104"/>
    </x:row>
    <x:row r="180">
      <x:c r="D180" s="104"/>
      <x:c r="E180" s="104"/>
      <x:c r="K180" s="104"/>
    </x:row>
    <x:row r="181">
      <x:c r="D181" s="104"/>
      <x:c r="E181" s="104"/>
      <x:c r="K181" s="104"/>
    </x:row>
    <x:row r="182">
      <x:c r="D182" s="104"/>
      <x:c r="E182" s="104"/>
      <x:c r="K182" s="104"/>
    </x:row>
    <x:row r="183">
      <x:c r="D183" s="104"/>
      <x:c r="E183" s="104"/>
      <x:c r="K183" s="104"/>
    </x:row>
    <x:row r="184">
      <x:c r="D184" s="104"/>
      <x:c r="E184" s="104"/>
      <x:c r="K184" s="104"/>
    </x:row>
    <x:row r="185">
      <x:c r="D185" s="104"/>
      <x:c r="E185" s="104"/>
      <x:c r="K185" s="104"/>
    </x:row>
    <x:row r="186">
      <x:c r="D186" s="104"/>
      <x:c r="E186" s="104"/>
      <x:c r="K186" s="104"/>
    </x:row>
    <x:row r="187">
      <x:c r="D187" s="104"/>
      <x:c r="E187" s="104"/>
      <x:c r="K187" s="104"/>
    </x:row>
    <x:row r="188">
      <x:c r="D188" s="104"/>
      <x:c r="E188" s="104"/>
      <x:c r="K188" s="104"/>
    </x:row>
    <x:row r="189">
      <x:c r="D189" s="104"/>
      <x:c r="E189" s="104"/>
      <x:c r="K189" s="104"/>
    </x:row>
    <x:row r="190">
      <x:c r="D190" s="104"/>
      <x:c r="E190" s="104"/>
      <x:c r="K190" s="104"/>
    </x:row>
    <x:row r="191">
      <x:c r="D191" s="104"/>
      <x:c r="E191" s="104"/>
      <x:c r="K191" s="104"/>
    </x:row>
    <x:row r="192">
      <x:c r="D192" s="104"/>
      <x:c r="E192" s="104"/>
      <x:c r="K192" s="104"/>
    </x:row>
    <x:row r="193">
      <x:c r="D193" s="104"/>
      <x:c r="E193" s="104"/>
      <x:c r="K193" s="104"/>
    </x:row>
    <x:row r="194">
      <x:c r="D194" s="104"/>
      <x:c r="E194" s="104"/>
      <x:c r="K194" s="104"/>
    </x:row>
    <x:row r="195">
      <x:c r="D195" s="104"/>
      <x:c r="E195" s="104"/>
      <x:c r="K195" s="104"/>
    </x:row>
    <x:row r="196">
      <x:c r="D196" s="104"/>
      <x:c r="E196" s="104"/>
      <x:c r="K196" s="104"/>
    </x:row>
    <x:row r="197">
      <x:c r="D197" s="104"/>
      <x:c r="E197" s="104"/>
      <x:c r="K197" s="104"/>
    </x:row>
    <x:row r="198">
      <x:c r="D198" s="104"/>
      <x:c r="E198" s="104"/>
      <x:c r="K198" s="104"/>
    </x:row>
    <x:row r="199">
      <x:c r="D199" s="104"/>
      <x:c r="E199" s="104"/>
      <x:c r="K199" s="104"/>
    </x:row>
    <x:row r="200">
      <x:c r="D200" s="104"/>
      <x:c r="E200" s="104"/>
      <x:c r="K200" s="104"/>
    </x:row>
    <x:row r="201">
      <x:c r="D201" s="104"/>
      <x:c r="E201" s="104"/>
      <x:c r="K201" s="104"/>
    </x:row>
    <x:row r="202">
      <x:c r="D202" s="104"/>
      <x:c r="E202" s="104"/>
      <x:c r="K202" s="104"/>
    </x:row>
    <x:row r="203">
      <x:c r="D203" s="104"/>
      <x:c r="E203" s="104"/>
      <x:c r="K203" s="104"/>
    </x:row>
    <x:row r="204">
      <x:c r="D204" s="104"/>
      <x:c r="E204" s="104"/>
      <x:c r="K204" s="104"/>
    </x:row>
    <x:row r="205">
      <x:c r="D205" s="104"/>
      <x:c r="E205" s="104"/>
      <x:c r="K205" s="104"/>
    </x:row>
    <x:row r="206">
      <x:c r="D206" s="104"/>
      <x:c r="E206" s="104"/>
      <x:c r="K206" s="104"/>
    </x:row>
    <x:row r="207">
      <x:c r="D207" s="104"/>
      <x:c r="E207" s="104"/>
      <x:c r="K207" s="104"/>
    </x:row>
    <x:row r="208">
      <x:c r="D208" s="104"/>
      <x:c r="E208" s="104"/>
      <x:c r="K208" s="104"/>
    </x:row>
    <x:row r="209">
      <x:c r="D209" s="104"/>
      <x:c r="E209" s="104"/>
      <x:c r="K209" s="104"/>
    </x:row>
    <x:row r="210">
      <x:c r="D210" s="104"/>
      <x:c r="E210" s="104"/>
      <x:c r="K210" s="104"/>
    </x:row>
    <x:row r="211">
      <x:c r="D211" s="104"/>
      <x:c r="E211" s="104"/>
      <x:c r="K211" s="104"/>
    </x:row>
    <x:row r="212">
      <x:c r="D212" s="104"/>
      <x:c r="E212" s="104"/>
      <x:c r="K212" s="104"/>
    </x:row>
    <x:row r="213">
      <x:c r="D213" s="104"/>
      <x:c r="E213" s="104"/>
      <x:c r="K213" s="104"/>
    </x:row>
    <x:row r="214">
      <x:c r="D214" s="104"/>
      <x:c r="E214" s="104"/>
      <x:c r="K214" s="104"/>
    </x:row>
    <x:row r="215">
      <x:c r="D215" s="104"/>
      <x:c r="E215" s="104"/>
      <x:c r="K215" s="104"/>
    </x:row>
    <x:row r="216">
      <x:c r="D216" s="104"/>
      <x:c r="E216" s="104"/>
      <x:c r="K216" s="104"/>
    </x:row>
    <x:row r="217">
      <x:c r="D217" s="104"/>
      <x:c r="E217" s="104"/>
      <x:c r="K217" s="104"/>
    </x:row>
    <x:row r="218">
      <x:c r="D218" s="104"/>
      <x:c r="E218" s="104"/>
      <x:c r="K218" s="104"/>
    </x:row>
    <x:row r="219">
      <x:c r="D219" s="104"/>
      <x:c r="E219" s="104"/>
      <x:c r="K219" s="104"/>
    </x:row>
    <x:row r="220">
      <x:c r="D220" s="104"/>
      <x:c r="E220" s="104"/>
      <x:c r="K220" s="104"/>
    </x:row>
    <x:row r="221">
      <x:c r="D221" s="104"/>
      <x:c r="E221" s="104"/>
      <x:c r="K221" s="104"/>
    </x:row>
    <x:row r="222">
      <x:c r="D222" s="104"/>
      <x:c r="E222" s="104"/>
      <x:c r="K222" s="104"/>
    </x:row>
    <x:row r="223">
      <x:c r="D223" s="104"/>
      <x:c r="E223" s="104"/>
      <x:c r="K223" s="104"/>
    </x:row>
    <x:row r="224">
      <x:c r="D224" s="104"/>
      <x:c r="E224" s="104"/>
      <x:c r="K224" s="104"/>
    </x:row>
    <x:row r="225">
      <x:c r="D225" s="104"/>
      <x:c r="E225" s="104"/>
      <x:c r="K225" s="104"/>
    </x:row>
    <x:row r="226">
      <x:c r="D226" s="104"/>
      <x:c r="E226" s="104"/>
      <x:c r="K226" s="104"/>
    </x:row>
    <x:row r="227">
      <x:c r="D227" s="104"/>
      <x:c r="E227" s="104"/>
      <x:c r="K227" s="104"/>
    </x:row>
    <x:row r="228">
      <x:c r="D228" s="104"/>
      <x:c r="E228" s="104"/>
      <x:c r="K228" s="104"/>
    </x:row>
    <x:row r="229">
      <x:c r="D229" s="104"/>
      <x:c r="E229" s="104"/>
      <x:c r="K229" s="104"/>
    </x:row>
    <x:row r="230">
      <x:c r="D230" s="104"/>
      <x:c r="E230" s="104"/>
      <x:c r="K230" s="104"/>
    </x:row>
    <x:row r="231">
      <x:c r="D231" s="104"/>
      <x:c r="E231" s="104"/>
      <x:c r="K231" s="104"/>
    </x:row>
    <x:row r="232">
      <x:c r="D232" s="104"/>
      <x:c r="E232" s="104"/>
      <x:c r="K232" s="104"/>
    </x:row>
    <x:row r="233">
      <x:c r="D233" s="104"/>
      <x:c r="E233" s="104"/>
      <x:c r="K233" s="104"/>
    </x:row>
    <x:row r="234">
      <x:c r="D234" s="104"/>
      <x:c r="E234" s="104"/>
      <x:c r="K234" s="104"/>
    </x:row>
    <x:row r="235">
      <x:c r="D235" s="104"/>
      <x:c r="E235" s="104"/>
      <x:c r="K235" s="104"/>
    </x:row>
    <x:row r="236">
      <x:c r="D236" s="104"/>
      <x:c r="E236" s="104"/>
      <x:c r="K236" s="104"/>
    </x:row>
    <x:row r="237">
      <x:c r="D237" s="104"/>
      <x:c r="E237" s="104"/>
      <x:c r="K237" s="104"/>
    </x:row>
    <x:row r="238">
      <x:c r="D238" s="104"/>
      <x:c r="E238" s="104"/>
      <x:c r="K238" s="104"/>
    </x:row>
    <x:row r="239">
      <x:c r="D239" s="104"/>
      <x:c r="E239" s="104"/>
      <x:c r="K239" s="104"/>
    </x:row>
    <x:row r="240">
      <x:c r="D240" s="104"/>
      <x:c r="E240" s="104"/>
      <x:c r="K240" s="104"/>
    </x:row>
    <x:row r="241">
      <x:c r="D241" s="104"/>
      <x:c r="E241" s="104"/>
      <x:c r="K241" s="104"/>
    </x:row>
    <x:row r="242">
      <x:c r="D242" s="104"/>
      <x:c r="E242" s="104"/>
      <x:c r="K242" s="104"/>
    </x:row>
    <x:row r="243">
      <x:c r="D243" s="104"/>
      <x:c r="E243" s="104"/>
      <x:c r="K243" s="104"/>
    </x:row>
    <x:row r="244">
      <x:c r="D244" s="104"/>
      <x:c r="E244" s="104"/>
      <x:c r="K244" s="104"/>
    </x:row>
    <x:row r="245">
      <x:c r="D245" s="104"/>
      <x:c r="E245" s="104"/>
      <x:c r="K245" s="104"/>
    </x:row>
    <x:row r="246">
      <x:c r="D246" s="104"/>
      <x:c r="E246" s="104"/>
      <x:c r="K246" s="104"/>
    </x:row>
    <x:row r="247">
      <x:c r="D247" s="104"/>
      <x:c r="E247" s="104"/>
      <x:c r="K247" s="104"/>
    </x:row>
    <x:row r="248">
      <x:c r="D248" s="104"/>
      <x:c r="E248" s="104"/>
      <x:c r="K248" s="104"/>
    </x:row>
    <x:row r="249">
      <x:c r="D249" s="104"/>
      <x:c r="E249" s="104"/>
      <x:c r="K249" s="104"/>
    </x:row>
    <x:row r="250">
      <x:c r="D250" s="104"/>
      <x:c r="E250" s="104"/>
      <x:c r="K250" s="104"/>
    </x:row>
    <x:row r="251">
      <x:c r="D251" s="104"/>
      <x:c r="E251" s="104"/>
      <x:c r="K251" s="104"/>
    </x:row>
    <x:row r="252">
      <x:c r="D252" s="104"/>
      <x:c r="E252" s="104"/>
      <x:c r="K252" s="104"/>
    </x:row>
    <x:row r="253">
      <x:c r="D253" s="104"/>
      <x:c r="E253" s="104"/>
      <x:c r="K253" s="104"/>
    </x:row>
    <x:row r="254">
      <x:c r="D254" s="104"/>
      <x:c r="E254" s="104"/>
      <x:c r="K254" s="104"/>
    </x:row>
    <x:row r="255">
      <x:c r="D255" s="104"/>
      <x:c r="E255" s="104"/>
      <x:c r="K255" s="104"/>
    </x:row>
    <x:row r="256">
      <x:c r="D256" s="104"/>
      <x:c r="E256" s="104"/>
      <x:c r="K256" s="104"/>
    </x:row>
    <x:row r="257">
      <x:c r="D257" s="104"/>
      <x:c r="E257" s="104"/>
      <x:c r="K257" s="104"/>
    </x:row>
    <x:row r="258">
      <x:c r="D258" s="104"/>
      <x:c r="E258" s="104"/>
      <x:c r="K258" s="104"/>
    </x:row>
    <x:row r="259">
      <x:c r="D259" s="104"/>
      <x:c r="E259" s="104"/>
      <x:c r="K259" s="104"/>
    </x:row>
    <x:row r="260">
      <x:c r="D260" s="104"/>
      <x:c r="E260" s="104"/>
      <x:c r="K260" s="104"/>
    </x:row>
    <x:row r="261">
      <x:c r="D261" s="104"/>
      <x:c r="E261" s="104"/>
      <x:c r="K261" s="104"/>
    </x:row>
    <x:row r="262">
      <x:c r="D262" s="104"/>
      <x:c r="E262" s="104"/>
      <x:c r="K262" s="104"/>
    </x:row>
    <x:row r="263">
      <x:c r="D263" s="104"/>
      <x:c r="E263" s="104"/>
      <x:c r="K263" s="104"/>
    </x:row>
    <x:row r="264">
      <x:c r="D264" s="104"/>
      <x:c r="E264" s="104"/>
      <x:c r="K264" s="104"/>
    </x:row>
    <x:row r="265">
      <x:c r="D265" s="104"/>
      <x:c r="E265" s="104"/>
      <x:c r="K265" s="104"/>
    </x:row>
    <x:row r="266">
      <x:c r="D266" s="104"/>
      <x:c r="E266" s="104"/>
      <x:c r="K266" s="104"/>
    </x:row>
    <x:row r="267">
      <x:c r="D267" s="104"/>
      <x:c r="E267" s="104"/>
      <x:c r="K267" s="104"/>
    </x:row>
    <x:row r="268">
      <x:c r="D268" s="104"/>
      <x:c r="E268" s="104"/>
      <x:c r="K268" s="104"/>
    </x:row>
    <x:row r="269">
      <x:c r="D269" s="104"/>
      <x:c r="E269" s="104"/>
      <x:c r="K269" s="104"/>
    </x:row>
    <x:row r="270">
      <x:c r="D270" s="104"/>
      <x:c r="E270" s="104"/>
      <x:c r="K270" s="104"/>
    </x:row>
    <x:row r="271">
      <x:c r="D271" s="104"/>
      <x:c r="E271" s="104"/>
      <x:c r="K271" s="104"/>
    </x:row>
    <x:row r="272">
      <x:c r="D272" s="104"/>
      <x:c r="E272" s="104"/>
      <x:c r="K272" s="104"/>
    </x:row>
    <x:row r="273">
      <x:c r="D273" s="104"/>
      <x:c r="E273" s="104"/>
      <x:c r="K273" s="104"/>
    </x:row>
    <x:row r="274">
      <x:c r="D274" s="104"/>
      <x:c r="E274" s="104"/>
      <x:c r="K274" s="104"/>
    </x:row>
    <x:row r="275">
      <x:c r="D275" s="104"/>
      <x:c r="E275" s="104"/>
      <x:c r="K275" s="104"/>
    </x:row>
    <x:row r="276">
      <x:c r="D276" s="104"/>
      <x:c r="E276" s="104"/>
      <x:c r="K276" s="104"/>
    </x:row>
    <x:row r="277">
      <x:c r="D277" s="104"/>
      <x:c r="E277" s="104"/>
      <x:c r="K277" s="104"/>
    </x:row>
    <x:row r="278">
      <x:c r="D278" s="104"/>
      <x:c r="E278" s="104"/>
      <x:c r="K278" s="104"/>
    </x:row>
    <x:row r="279">
      <x:c r="D279" s="104"/>
      <x:c r="E279" s="104"/>
      <x:c r="K279" s="104"/>
    </x:row>
    <x:row r="280">
      <x:c r="D280" s="104"/>
      <x:c r="E280" s="104"/>
      <x:c r="K280" s="104"/>
    </x:row>
    <x:row r="281">
      <x:c r="D281" s="104"/>
      <x:c r="E281" s="104"/>
      <x:c r="K281" s="104"/>
    </x:row>
    <x:row r="282">
      <x:c r="D282" s="104"/>
      <x:c r="E282" s="104"/>
      <x:c r="K282" s="104"/>
    </x:row>
    <x:row r="283">
      <x:c r="D283" s="104"/>
      <x:c r="E283" s="104"/>
      <x:c r="K283" s="104"/>
    </x:row>
    <x:row r="284">
      <x:c r="D284" s="104"/>
      <x:c r="E284" s="104"/>
      <x:c r="K284" s="104"/>
    </x:row>
    <x:row r="285">
      <x:c r="D285" s="104"/>
      <x:c r="E285" s="104"/>
      <x:c r="K285" s="104"/>
    </x:row>
    <x:row r="286">
      <x:c r="D286" s="104"/>
      <x:c r="E286" s="104"/>
      <x:c r="K286" s="104"/>
    </x:row>
    <x:row r="287">
      <x:c r="D287" s="104"/>
      <x:c r="E287" s="104"/>
      <x:c r="K287" s="104"/>
    </x:row>
    <x:row r="288">
      <x:c r="D288" s="104"/>
      <x:c r="E288" s="104"/>
      <x:c r="K288" s="104"/>
    </x:row>
    <x:row r="289">
      <x:c r="D289" s="104"/>
      <x:c r="E289" s="104"/>
      <x:c r="K289" s="104"/>
    </x:row>
    <x:row r="290">
      <x:c r="D290" s="104"/>
      <x:c r="E290" s="104"/>
      <x:c r="K290" s="104"/>
    </x:row>
    <x:row r="291">
      <x:c r="D291" s="104"/>
      <x:c r="E291" s="104"/>
      <x:c r="K291" s="104"/>
    </x:row>
    <x:row r="292">
      <x:c r="D292" s="104"/>
      <x:c r="E292" s="104"/>
      <x:c r="K292" s="104"/>
    </x:row>
    <x:row r="293">
      <x:c r="D293" s="104"/>
      <x:c r="E293" s="104"/>
      <x:c r="K293" s="104"/>
    </x:row>
    <x:row r="294">
      <x:c r="D294" s="104"/>
      <x:c r="E294" s="104"/>
      <x:c r="K294" s="104"/>
    </x:row>
    <x:row r="295">
      <x:c r="D295" s="104"/>
      <x:c r="E295" s="104"/>
      <x:c r="K295" s="104"/>
    </x:row>
    <x:row r="296">
      <x:c r="D296" s="104"/>
      <x:c r="E296" s="104"/>
      <x:c r="K296" s="104"/>
    </x:row>
    <x:row r="297">
      <x:c r="D297" s="104"/>
      <x:c r="E297" s="104"/>
      <x:c r="K297" s="104"/>
    </x:row>
    <x:row r="298">
      <x:c r="D298" s="104"/>
      <x:c r="E298" s="104"/>
      <x:c r="K298" s="104"/>
    </x:row>
    <x:row r="299">
      <x:c r="D299" s="104"/>
      <x:c r="E299" s="104"/>
      <x:c r="K299" s="104"/>
    </x:row>
    <x:row r="300">
      <x:c r="D300" s="104"/>
      <x:c r="E300" s="104"/>
      <x:c r="K300" s="104"/>
    </x:row>
    <x:row r="301">
      <x:c r="D301" s="104"/>
      <x:c r="E301" s="104"/>
      <x:c r="K301" s="104"/>
    </x:row>
    <x:row r="302">
      <x:c r="D302" s="104"/>
      <x:c r="E302" s="104"/>
      <x:c r="K302" s="104"/>
    </x:row>
    <x:row r="303">
      <x:c r="D303" s="104"/>
      <x:c r="E303" s="104"/>
      <x:c r="K303" s="104"/>
    </x:row>
    <x:row r="304">
      <x:c r="D304" s="104"/>
      <x:c r="E304" s="104"/>
      <x:c r="K304" s="104"/>
    </x:row>
    <x:row r="305">
      <x:c r="D305" s="104"/>
      <x:c r="E305" s="104"/>
      <x:c r="K305" s="104"/>
    </x:row>
    <x:row r="306">
      <x:c r="D306" s="104"/>
      <x:c r="E306" s="104"/>
      <x:c r="K306" s="104"/>
    </x:row>
    <x:row r="307">
      <x:c r="D307" s="104"/>
      <x:c r="E307" s="104"/>
      <x:c r="K307" s="104"/>
    </x:row>
    <x:row r="308">
      <x:c r="D308" s="104"/>
      <x:c r="E308" s="104"/>
      <x:c r="K308" s="104"/>
    </x:row>
    <x:row r="309">
      <x:c r="D309" s="104"/>
      <x:c r="E309" s="104"/>
      <x:c r="K309" s="104"/>
    </x:row>
    <x:row r="310">
      <x:c r="D310" s="104"/>
      <x:c r="E310" s="104"/>
      <x:c r="K310" s="104"/>
    </x:row>
    <x:row r="311">
      <x:c r="D311" s="104"/>
      <x:c r="E311" s="104"/>
      <x:c r="K311" s="104"/>
    </x:row>
    <x:row r="312">
      <x:c r="D312" s="104"/>
      <x:c r="E312" s="104"/>
      <x:c r="K312" s="104"/>
    </x:row>
    <x:row r="313">
      <x:c r="D313" s="104"/>
      <x:c r="E313" s="104"/>
      <x:c r="K313" s="104"/>
    </x:row>
    <x:row r="314">
      <x:c r="D314" s="104"/>
      <x:c r="E314" s="104"/>
      <x:c r="K314" s="104"/>
    </x:row>
    <x:row r="315">
      <x:c r="D315" s="104"/>
      <x:c r="E315" s="104"/>
      <x:c r="K315" s="104"/>
    </x:row>
    <x:row r="316">
      <x:c r="D316" s="104"/>
      <x:c r="E316" s="104"/>
      <x:c r="K316" s="104"/>
    </x:row>
    <x:row r="317">
      <x:c r="D317" s="104"/>
      <x:c r="E317" s="104"/>
      <x:c r="K317" s="104"/>
    </x:row>
    <x:row r="318">
      <x:c r="D318" s="104"/>
      <x:c r="E318" s="104"/>
      <x:c r="K318" s="104"/>
    </x:row>
    <x:row r="319">
      <x:c r="D319" s="104"/>
      <x:c r="E319" s="104"/>
      <x:c r="K319" s="104"/>
    </x:row>
    <x:row r="320">
      <x:c r="D320" s="104"/>
      <x:c r="E320" s="104"/>
      <x:c r="K320" s="104"/>
    </x:row>
    <x:row r="321">
      <x:c r="D321" s="104"/>
      <x:c r="E321" s="104"/>
      <x:c r="K321" s="104"/>
    </x:row>
    <x:row r="322">
      <x:c r="D322" s="104"/>
      <x:c r="E322" s="104"/>
      <x:c r="K322" s="104"/>
    </x:row>
    <x:row r="323">
      <x:c r="D323" s="104"/>
      <x:c r="E323" s="104"/>
      <x:c r="K323" s="104"/>
    </x:row>
    <x:row r="324">
      <x:c r="D324" s="104"/>
      <x:c r="E324" s="104"/>
      <x:c r="K324" s="104"/>
    </x:row>
    <x:row r="325">
      <x:c r="D325" s="104"/>
      <x:c r="E325" s="104"/>
      <x:c r="K325" s="104"/>
    </x:row>
    <x:row r="326">
      <x:c r="D326" s="104"/>
      <x:c r="E326" s="104"/>
      <x:c r="K326" s="104"/>
    </x:row>
    <x:row r="327">
      <x:c r="D327" s="104"/>
      <x:c r="E327" s="104"/>
      <x:c r="K327" s="104"/>
    </x:row>
    <x:row r="328">
      <x:c r="D328" s="104"/>
      <x:c r="E328" s="104"/>
      <x:c r="K328" s="104"/>
    </x:row>
    <x:row r="329">
      <x:c r="D329" s="104"/>
      <x:c r="E329" s="104"/>
      <x:c r="K329" s="104"/>
    </x:row>
    <x:row r="330">
      <x:c r="D330" s="104"/>
      <x:c r="E330" s="104"/>
      <x:c r="K330" s="104"/>
    </x:row>
    <x:row r="331">
      <x:c r="D331" s="104"/>
      <x:c r="E331" s="104"/>
      <x:c r="K331" s="104"/>
    </x:row>
    <x:row r="332">
      <x:c r="D332" s="104"/>
      <x:c r="E332" s="104"/>
      <x:c r="K332" s="104"/>
    </x:row>
    <x:row r="333">
      <x:c r="D333" s="104"/>
      <x:c r="E333" s="104"/>
      <x:c r="K333" s="104"/>
    </x:row>
    <x:row r="334">
      <x:c r="D334" s="104"/>
      <x:c r="E334" s="104"/>
      <x:c r="K334" s="104"/>
    </x:row>
    <x:row r="335">
      <x:c r="D335" s="104"/>
      <x:c r="E335" s="104"/>
      <x:c r="K335" s="104"/>
    </x:row>
    <x:row r="336">
      <x:c r="D336" s="104"/>
      <x:c r="E336" s="104"/>
      <x:c r="K336" s="104"/>
    </x:row>
    <x:row r="337">
      <x:c r="D337" s="104"/>
      <x:c r="E337" s="104"/>
      <x:c r="K337" s="104"/>
    </x:row>
    <x:row r="338">
      <x:c r="D338" s="104"/>
      <x:c r="E338" s="104"/>
      <x:c r="K338" s="104"/>
    </x:row>
    <x:row r="339">
      <x:c r="D339" s="104"/>
      <x:c r="E339" s="104"/>
      <x:c r="K339" s="104"/>
    </x:row>
    <x:row r="340">
      <x:c r="D340" s="104"/>
      <x:c r="E340" s="104"/>
      <x:c r="K340" s="104"/>
    </x:row>
    <x:row r="341">
      <x:c r="D341" s="104"/>
      <x:c r="E341" s="104"/>
      <x:c r="K341" s="104"/>
    </x:row>
    <x:row r="342">
      <x:c r="D342" s="104"/>
      <x:c r="E342" s="104"/>
      <x:c r="K342" s="104"/>
    </x:row>
    <x:row r="343">
      <x:c r="D343" s="104"/>
      <x:c r="E343" s="104"/>
      <x:c r="K343" s="104"/>
    </x:row>
    <x:row r="344">
      <x:c r="D344" s="104"/>
      <x:c r="E344" s="104"/>
      <x:c r="K344" s="104"/>
    </x:row>
    <x:row r="345">
      <x:c r="D345" s="104"/>
      <x:c r="E345" s="104"/>
      <x:c r="K345" s="104"/>
    </x:row>
    <x:row r="346">
      <x:c r="D346" s="104"/>
      <x:c r="E346" s="104"/>
      <x:c r="K346" s="104"/>
    </x:row>
    <x:row r="347">
      <x:c r="D347" s="104"/>
      <x:c r="E347" s="104"/>
      <x:c r="K347" s="104"/>
    </x:row>
    <x:row r="348">
      <x:c r="D348" s="104"/>
      <x:c r="E348" s="104"/>
      <x:c r="K348" s="104"/>
    </x:row>
    <x:row r="349">
      <x:c r="D349" s="104"/>
      <x:c r="E349" s="104"/>
      <x:c r="K349" s="104"/>
    </x:row>
    <x:row r="350">
      <x:c r="D350" s="104"/>
      <x:c r="E350" s="104"/>
      <x:c r="K350" s="104"/>
    </x:row>
    <x:row r="351">
      <x:c r="D351" s="104"/>
      <x:c r="E351" s="104"/>
      <x:c r="K351" s="104"/>
    </x:row>
    <x:row r="352">
      <x:c r="D352" s="104"/>
      <x:c r="E352" s="104"/>
      <x:c r="K352" s="104"/>
    </x:row>
    <x:row r="353">
      <x:c r="D353" s="104"/>
      <x:c r="E353" s="104"/>
      <x:c r="K353" s="104"/>
    </x:row>
    <x:row r="354">
      <x:c r="D354" s="104"/>
      <x:c r="E354" s="104"/>
      <x:c r="K354" s="104"/>
    </x:row>
    <x:row r="355">
      <x:c r="D355" s="104"/>
      <x:c r="E355" s="104"/>
      <x:c r="K355" s="104"/>
    </x:row>
    <x:row r="356">
      <x:c r="D356" s="104"/>
      <x:c r="E356" s="104"/>
      <x:c r="K356" s="104"/>
    </x:row>
    <x:row r="357">
      <x:c r="D357" s="104"/>
      <x:c r="E357" s="104"/>
      <x:c r="K357" s="104"/>
    </x:row>
    <x:row r="358">
      <x:c r="D358" s="104"/>
      <x:c r="E358" s="104"/>
      <x:c r="K358" s="104"/>
    </x:row>
    <x:row r="359">
      <x:c r="D359" s="104"/>
      <x:c r="E359" s="104"/>
      <x:c r="K359" s="104"/>
    </x:row>
    <x:row r="360">
      <x:c r="D360" s="104"/>
      <x:c r="E360" s="104"/>
      <x:c r="K360" s="104"/>
    </x:row>
    <x:row r="361">
      <x:c r="D361" s="104"/>
      <x:c r="E361" s="104"/>
      <x:c r="K361" s="104"/>
    </x:row>
    <x:row r="362">
      <x:c r="D362" s="104"/>
      <x:c r="E362" s="104"/>
      <x:c r="K362" s="104"/>
    </x:row>
    <x:row r="363">
      <x:c r="D363" s="104"/>
      <x:c r="E363" s="104"/>
      <x:c r="K363" s="104"/>
    </x:row>
    <x:row r="364">
      <x:c r="D364" s="104"/>
      <x:c r="E364" s="104"/>
      <x:c r="K364" s="104"/>
    </x:row>
    <x:row r="365">
      <x:c r="D365" s="104"/>
      <x:c r="E365" s="104"/>
      <x:c r="K365" s="104"/>
    </x:row>
    <x:row r="366">
      <x:c r="D366" s="104"/>
      <x:c r="E366" s="104"/>
      <x:c r="K366" s="104"/>
    </x:row>
    <x:row r="367">
      <x:c r="D367" s="104"/>
      <x:c r="E367" s="104"/>
      <x:c r="K367" s="104"/>
    </x:row>
    <x:row r="368">
      <x:c r="D368" s="104"/>
      <x:c r="E368" s="104"/>
      <x:c r="K368" s="104"/>
    </x:row>
    <x:row r="369">
      <x:c r="D369" s="104"/>
      <x:c r="E369" s="104"/>
      <x:c r="K369" s="104"/>
    </x:row>
    <x:row r="370">
      <x:c r="D370" s="104"/>
      <x:c r="E370" s="104"/>
      <x:c r="K370" s="104"/>
    </x:row>
    <x:row r="371">
      <x:c r="D371" s="104"/>
      <x:c r="E371" s="104"/>
      <x:c r="K371" s="104"/>
    </x:row>
    <x:row r="372">
      <x:c r="D372" s="104"/>
      <x:c r="E372" s="104"/>
      <x:c r="K372" s="104"/>
    </x:row>
    <x:row r="373">
      <x:c r="D373" s="104"/>
      <x:c r="E373" s="104"/>
      <x:c r="K373" s="104"/>
    </x:row>
    <x:row r="374">
      <x:c r="D374" s="104"/>
      <x:c r="E374" s="104"/>
      <x:c r="K374" s="104"/>
    </x:row>
    <x:row r="375">
      <x:c r="D375" s="104"/>
      <x:c r="E375" s="104"/>
      <x:c r="K375" s="104"/>
    </x:row>
    <x:row r="376">
      <x:c r="D376" s="104"/>
      <x:c r="E376" s="104"/>
      <x:c r="K376" s="104"/>
    </x:row>
    <x:row r="377">
      <x:c r="D377" s="104"/>
      <x:c r="E377" s="104"/>
      <x:c r="K377" s="104"/>
    </x:row>
    <x:row r="378">
      <x:c r="D378" s="104"/>
      <x:c r="E378" s="104"/>
      <x:c r="K378" s="104"/>
    </x:row>
    <x:row r="379">
      <x:c r="D379" s="104"/>
      <x:c r="E379" s="104"/>
      <x:c r="K379" s="104"/>
    </x:row>
    <x:row r="380">
      <x:c r="D380" s="104"/>
      <x:c r="E380" s="104"/>
      <x:c r="K380" s="104"/>
    </x:row>
    <x:row r="381">
      <x:c r="D381" s="104"/>
      <x:c r="E381" s="104"/>
      <x:c r="K381" s="104"/>
    </x:row>
    <x:row r="382">
      <x:c r="D382" s="104"/>
      <x:c r="E382" s="104"/>
      <x:c r="K382" s="104"/>
    </x:row>
    <x:row r="383">
      <x:c r="D383" s="104"/>
      <x:c r="E383" s="104"/>
      <x:c r="K383" s="104"/>
    </x:row>
    <x:row r="384">
      <x:c r="D384" s="104"/>
      <x:c r="E384" s="104"/>
      <x:c r="K384" s="104"/>
    </x:row>
    <x:row r="385">
      <x:c r="D385" s="104"/>
      <x:c r="E385" s="104"/>
      <x:c r="K385" s="104"/>
    </x:row>
    <x:row r="386">
      <x:c r="D386" s="104"/>
      <x:c r="E386" s="104"/>
      <x:c r="K386" s="104"/>
    </x:row>
    <x:row r="387">
      <x:c r="D387" s="104"/>
      <x:c r="E387" s="104"/>
      <x:c r="K387" s="104"/>
    </x:row>
    <x:row r="388">
      <x:c r="D388" s="104"/>
      <x:c r="E388" s="104"/>
      <x:c r="K388" s="104"/>
    </x:row>
    <x:row r="389">
      <x:c r="D389" s="104"/>
      <x:c r="E389" s="104"/>
      <x:c r="K389" s="104"/>
    </x:row>
    <x:row r="390">
      <x:c r="D390" s="104"/>
      <x:c r="E390" s="104"/>
      <x:c r="K390" s="104"/>
    </x:row>
    <x:row r="391">
      <x:c r="D391" s="104"/>
      <x:c r="E391" s="104"/>
      <x:c r="K391" s="104"/>
    </x:row>
    <x:row r="392">
      <x:c r="D392" s="104"/>
      <x:c r="E392" s="104"/>
      <x:c r="K392" s="104"/>
    </x:row>
    <x:row r="393">
      <x:c r="D393" s="104"/>
      <x:c r="E393" s="104"/>
      <x:c r="K393" s="104"/>
    </x:row>
    <x:row r="394">
      <x:c r="D394" s="104"/>
      <x:c r="E394" s="104"/>
      <x:c r="K394" s="104"/>
    </x:row>
    <x:row r="395">
      <x:c r="D395" s="104"/>
      <x:c r="E395" s="104"/>
      <x:c r="K395" s="104"/>
    </x:row>
    <x:row r="396">
      <x:c r="D396" s="104"/>
      <x:c r="E396" s="104"/>
      <x:c r="K396" s="104"/>
    </x:row>
    <x:row r="397">
      <x:c r="D397" s="104"/>
      <x:c r="E397" s="104"/>
      <x:c r="K397" s="104"/>
    </x:row>
    <x:row r="398">
      <x:c r="D398" s="104"/>
      <x:c r="E398" s="104"/>
      <x:c r="K398" s="104"/>
    </x:row>
    <x:row r="399">
      <x:c r="D399" s="104"/>
      <x:c r="E399" s="104"/>
      <x:c r="K399" s="104"/>
    </x:row>
    <x:row r="400">
      <x:c r="D400" s="104"/>
      <x:c r="E400" s="104"/>
      <x:c r="K400" s="104"/>
    </x:row>
    <x:row r="401">
      <x:c r="D401" s="104"/>
      <x:c r="E401" s="104"/>
      <x:c r="K401" s="104"/>
    </x:row>
    <x:row r="402">
      <x:c r="D402" s="104"/>
      <x:c r="E402" s="104"/>
      <x:c r="K402" s="104"/>
    </x:row>
    <x:row r="403">
      <x:c r="D403" s="104"/>
      <x:c r="E403" s="104"/>
      <x:c r="K403" s="104"/>
    </x:row>
    <x:row r="404">
      <x:c r="D404" s="104"/>
      <x:c r="E404" s="104"/>
      <x:c r="K404" s="104"/>
    </x:row>
    <x:row r="405">
      <x:c r="D405" s="104"/>
      <x:c r="E405" s="104"/>
      <x:c r="K405" s="104"/>
    </x:row>
    <x:row r="406">
      <x:c r="D406" s="104"/>
      <x:c r="E406" s="104"/>
      <x:c r="K406" s="104"/>
    </x:row>
    <x:row r="407">
      <x:c r="D407" s="104"/>
      <x:c r="E407" s="104"/>
      <x:c r="K407" s="104"/>
    </x:row>
    <x:row r="408">
      <x:c r="D408" s="104"/>
      <x:c r="E408" s="104"/>
      <x:c r="K408" s="104"/>
    </x:row>
    <x:row r="409">
      <x:c r="D409" s="104"/>
      <x:c r="E409" s="104"/>
      <x:c r="K409" s="104"/>
    </x:row>
    <x:row r="410">
      <x:c r="D410" s="104"/>
      <x:c r="E410" s="104"/>
      <x:c r="K410" s="104"/>
    </x:row>
    <x:row r="411">
      <x:c r="D411" s="104"/>
      <x:c r="E411" s="104"/>
      <x:c r="K411" s="104"/>
    </x:row>
    <x:row r="412">
      <x:c r="D412" s="104"/>
      <x:c r="E412" s="104"/>
      <x:c r="K412" s="104"/>
    </x:row>
    <x:row r="413">
      <x:c r="D413" s="104"/>
      <x:c r="E413" s="104"/>
      <x:c r="K413" s="104"/>
    </x:row>
    <x:row r="414">
      <x:c r="D414" s="104"/>
      <x:c r="E414" s="104"/>
      <x:c r="K414" s="104"/>
    </x:row>
    <x:row r="415">
      <x:c r="D415" s="104"/>
      <x:c r="E415" s="104"/>
      <x:c r="K415" s="104"/>
    </x:row>
    <x:row r="416">
      <x:c r="D416" s="104"/>
      <x:c r="E416" s="104"/>
      <x:c r="K416" s="104"/>
    </x:row>
    <x:row r="417">
      <x:c r="D417" s="104"/>
      <x:c r="E417" s="104"/>
      <x:c r="K417" s="104"/>
    </x:row>
    <x:row r="418">
      <x:c r="D418" s="104"/>
      <x:c r="E418" s="104"/>
      <x:c r="K418" s="104"/>
    </x:row>
    <x:row r="419">
      <x:c r="D419" s="104"/>
      <x:c r="E419" s="104"/>
      <x:c r="K419" s="104"/>
    </x:row>
    <x:row r="420">
      <x:c r="D420" s="104"/>
      <x:c r="E420" s="104"/>
      <x:c r="K420" s="104"/>
    </x:row>
    <x:row r="421">
      <x:c r="D421" s="104"/>
      <x:c r="E421" s="104"/>
      <x:c r="K421" s="104"/>
    </x:row>
    <x:row r="422">
      <x:c r="D422" s="104"/>
      <x:c r="E422" s="104"/>
      <x:c r="K422" s="104"/>
    </x:row>
    <x:row r="423">
      <x:c r="D423" s="104"/>
      <x:c r="E423" s="104"/>
      <x:c r="K423" s="104"/>
    </x:row>
    <x:row r="424">
      <x:c r="D424" s="104"/>
      <x:c r="E424" s="104"/>
      <x:c r="K424" s="104"/>
    </x:row>
    <x:row r="425">
      <x:c r="D425" s="104"/>
      <x:c r="E425" s="104"/>
      <x:c r="K425" s="104"/>
    </x:row>
    <x:row r="426">
      <x:c r="D426" s="104"/>
      <x:c r="E426" s="104"/>
      <x:c r="K426" s="104"/>
    </x:row>
    <x:row r="427">
      <x:c r="D427" s="104"/>
      <x:c r="E427" s="104"/>
      <x:c r="K427" s="104"/>
    </x:row>
    <x:row r="428">
      <x:c r="D428" s="104"/>
      <x:c r="E428" s="104"/>
      <x:c r="K428" s="104"/>
    </x:row>
    <x:row r="429">
      <x:c r="D429" s="104"/>
      <x:c r="E429" s="104"/>
      <x:c r="K429" s="104"/>
    </x:row>
    <x:row r="430">
      <x:c r="D430" s="104"/>
      <x:c r="E430" s="104"/>
      <x:c r="K430" s="104"/>
    </x:row>
    <x:row r="431">
      <x:c r="D431" s="104"/>
      <x:c r="E431" s="104"/>
      <x:c r="K431" s="104"/>
    </x:row>
    <x:row r="432">
      <x:c r="D432" s="104"/>
      <x:c r="E432" s="104"/>
      <x:c r="K432" s="104"/>
    </x:row>
    <x:row r="433">
      <x:c r="D433" s="104"/>
      <x:c r="E433" s="104"/>
      <x:c r="K433" s="104"/>
    </x:row>
    <x:row r="434">
      <x:c r="D434" s="104"/>
      <x:c r="E434" s="104"/>
      <x:c r="K434" s="104"/>
    </x:row>
    <x:row r="435">
      <x:c r="D435" s="104"/>
      <x:c r="E435" s="104"/>
      <x:c r="K435" s="104"/>
    </x:row>
    <x:row r="436">
      <x:c r="D436" s="104"/>
      <x:c r="E436" s="104"/>
      <x:c r="K436" s="104"/>
    </x:row>
    <x:row r="437">
      <x:c r="D437" s="104"/>
      <x:c r="E437" s="104"/>
      <x:c r="K437" s="104"/>
    </x:row>
    <x:row r="438">
      <x:c r="D438" s="104"/>
      <x:c r="E438" s="104"/>
      <x:c r="K438" s="104"/>
    </x:row>
    <x:row r="439">
      <x:c r="D439" s="104"/>
      <x:c r="E439" s="104"/>
      <x:c r="K439" s="104"/>
    </x:row>
    <x:row r="440">
      <x:c r="D440" s="104"/>
      <x:c r="E440" s="104"/>
      <x:c r="K440" s="104"/>
    </x:row>
    <x:row r="441">
      <x:c r="D441" s="104"/>
      <x:c r="E441" s="104"/>
      <x:c r="K441" s="104"/>
    </x:row>
    <x:row r="442">
      <x:c r="D442" s="104"/>
      <x:c r="E442" s="104"/>
      <x:c r="K442" s="104"/>
    </x:row>
    <x:row r="443">
      <x:c r="D443" s="104"/>
      <x:c r="E443" s="104"/>
      <x:c r="K443" s="104"/>
    </x:row>
    <x:row r="444">
      <x:c r="D444" s="104"/>
      <x:c r="E444" s="104"/>
      <x:c r="K444" s="104"/>
    </x:row>
    <x:row r="445">
      <x:c r="D445" s="104"/>
      <x:c r="E445" s="104"/>
      <x:c r="K445" s="104"/>
    </x:row>
    <x:row r="446">
      <x:c r="D446" s="104"/>
      <x:c r="E446" s="104"/>
      <x:c r="K446" s="104"/>
    </x:row>
    <x:row r="447">
      <x:c r="D447" s="104"/>
      <x:c r="E447" s="104"/>
      <x:c r="K447" s="104"/>
    </x:row>
    <x:row r="448">
      <x:c r="D448" s="104"/>
      <x:c r="E448" s="104"/>
      <x:c r="K448" s="104"/>
    </x:row>
    <x:row r="449">
      <x:c r="D449" s="104"/>
      <x:c r="E449" s="104"/>
      <x:c r="K449" s="104"/>
    </x:row>
    <x:row r="450">
      <x:c r="D450" s="104"/>
      <x:c r="E450" s="104"/>
      <x:c r="K450" s="104"/>
    </x:row>
    <x:row r="451">
      <x:c r="D451" s="104"/>
      <x:c r="E451" s="104"/>
      <x:c r="K451" s="104"/>
    </x:row>
    <x:row r="452">
      <x:c r="D452" s="104"/>
      <x:c r="E452" s="104"/>
      <x:c r="K452" s="104"/>
    </x:row>
    <x:row r="453">
      <x:c r="D453" s="104"/>
      <x:c r="E453" s="104"/>
      <x:c r="K453" s="104"/>
    </x:row>
    <x:row r="454">
      <x:c r="D454" s="104"/>
      <x:c r="E454" s="104"/>
      <x:c r="K454" s="104"/>
    </x:row>
    <x:row r="455">
      <x:c r="D455" s="104"/>
      <x:c r="E455" s="104"/>
      <x:c r="K455" s="104"/>
    </x:row>
    <x:row r="456">
      <x:c r="D456" s="104"/>
      <x:c r="E456" s="104"/>
      <x:c r="K456" s="104"/>
    </x:row>
    <x:row r="457">
      <x:c r="D457" s="104"/>
      <x:c r="E457" s="104"/>
      <x:c r="K457" s="104"/>
    </x:row>
    <x:row r="458">
      <x:c r="D458" s="104"/>
      <x:c r="E458" s="104"/>
      <x:c r="K458" s="104"/>
    </x:row>
    <x:row r="459">
      <x:c r="D459" s="104"/>
      <x:c r="E459" s="104"/>
      <x:c r="K459" s="104"/>
    </x:row>
    <x:row r="460">
      <x:c r="D460" s="104"/>
      <x:c r="E460" s="104"/>
      <x:c r="K460" s="104"/>
    </x:row>
    <x:row r="461">
      <x:c r="D461" s="104"/>
      <x:c r="E461" s="104"/>
      <x:c r="K461" s="104"/>
    </x:row>
    <x:row r="462">
      <x:c r="D462" s="104"/>
      <x:c r="E462" s="104"/>
      <x:c r="K462" s="104"/>
    </x:row>
    <x:row r="463">
      <x:c r="D463" s="104"/>
      <x:c r="E463" s="104"/>
      <x:c r="K463" s="104"/>
    </x:row>
    <x:row r="464">
      <x:c r="D464" s="104"/>
      <x:c r="E464" s="104"/>
      <x:c r="K464" s="104"/>
    </x:row>
    <x:row r="465">
      <x:c r="D465" s="104"/>
      <x:c r="E465" s="104"/>
      <x:c r="K465" s="104"/>
    </x:row>
    <x:row r="466">
      <x:c r="D466" s="104"/>
      <x:c r="E466" s="104"/>
      <x:c r="K466" s="104"/>
    </x:row>
    <x:row r="467">
      <x:c r="D467" s="104"/>
      <x:c r="E467" s="104"/>
      <x:c r="K467" s="104"/>
    </x:row>
    <x:row r="468">
      <x:c r="D468" s="104"/>
      <x:c r="E468" s="104"/>
      <x:c r="K468" s="104"/>
    </x:row>
    <x:row r="469">
      <x:c r="D469" s="104"/>
      <x:c r="E469" s="104"/>
      <x:c r="K469" s="104"/>
    </x:row>
    <x:row r="470">
      <x:c r="D470" s="104"/>
      <x:c r="E470" s="104"/>
      <x:c r="K470" s="104"/>
    </x:row>
    <x:row r="471">
      <x:c r="D471" s="104"/>
      <x:c r="E471" s="104"/>
      <x:c r="K471" s="104"/>
    </x:row>
    <x:row r="472">
      <x:c r="D472" s="104"/>
      <x:c r="E472" s="104"/>
      <x:c r="K472" s="104"/>
    </x:row>
    <x:row r="473">
      <x:c r="D473" s="104"/>
      <x:c r="E473" s="104"/>
      <x:c r="K473" s="104"/>
    </x:row>
    <x:row r="474">
      <x:c r="D474" s="104"/>
      <x:c r="E474" s="104"/>
      <x:c r="K474" s="104"/>
    </x:row>
    <x:row r="475">
      <x:c r="D475" s="104"/>
      <x:c r="E475" s="104"/>
      <x:c r="K475" s="104"/>
    </x:row>
    <x:row r="476">
      <x:c r="D476" s="104"/>
      <x:c r="E476" s="104"/>
      <x:c r="K476" s="104"/>
    </x:row>
    <x:row r="477">
      <x:c r="D477" s="104"/>
      <x:c r="E477" s="104"/>
      <x:c r="K477" s="104"/>
    </x:row>
    <x:row r="478">
      <x:c r="D478" s="104"/>
      <x:c r="E478" s="104"/>
      <x:c r="K478" s="104"/>
    </x:row>
    <x:row r="479">
      <x:c r="D479" s="104"/>
      <x:c r="E479" s="104"/>
      <x:c r="K479" s="104"/>
    </x:row>
    <x:row r="480">
      <x:c r="D480" s="104"/>
      <x:c r="E480" s="104"/>
      <x:c r="K480" s="104"/>
    </x:row>
    <x:row r="481">
      <x:c r="D481" s="104"/>
      <x:c r="E481" s="104"/>
      <x:c r="K481" s="104"/>
    </x:row>
    <x:row r="482">
      <x:c r="D482" s="104"/>
      <x:c r="E482" s="104"/>
      <x:c r="K482" s="104"/>
    </x:row>
    <x:row r="483">
      <x:c r="D483" s="104"/>
      <x:c r="E483" s="104"/>
      <x:c r="K483" s="104"/>
    </x:row>
    <x:row r="484">
      <x:c r="D484" s="104"/>
      <x:c r="E484" s="104"/>
      <x:c r="K484" s="104"/>
    </x:row>
    <x:row r="485">
      <x:c r="D485" s="104"/>
      <x:c r="E485" s="104"/>
      <x:c r="K485" s="104"/>
    </x:row>
    <x:row r="486">
      <x:c r="D486" s="104"/>
      <x:c r="E486" s="104"/>
      <x:c r="K486" s="104"/>
    </x:row>
    <x:row r="487">
      <x:c r="D487" s="104"/>
      <x:c r="E487" s="104"/>
      <x:c r="K487" s="104"/>
    </x:row>
    <x:row r="488">
      <x:c r="D488" s="104"/>
      <x:c r="E488" s="104"/>
      <x:c r="K488" s="104"/>
    </x:row>
    <x:row r="489">
      <x:c r="D489" s="104"/>
      <x:c r="E489" s="104"/>
      <x:c r="K489" s="104"/>
    </x:row>
    <x:row r="490">
      <x:c r="D490" s="104"/>
      <x:c r="E490" s="104"/>
      <x:c r="K490" s="104"/>
    </x:row>
    <x:row r="491">
      <x:c r="D491" s="104"/>
      <x:c r="E491" s="104"/>
      <x:c r="K491" s="104"/>
    </x:row>
    <x:row r="492">
      <x:c r="D492" s="104"/>
      <x:c r="E492" s="104"/>
      <x:c r="K492" s="104"/>
    </x:row>
    <x:row r="493">
      <x:c r="D493" s="104"/>
      <x:c r="E493" s="104"/>
      <x:c r="K493" s="104"/>
    </x:row>
    <x:row r="494">
      <x:c r="D494" s="104"/>
      <x:c r="E494" s="104"/>
      <x:c r="K494" s="104"/>
    </x:row>
    <x:row r="495">
      <x:c r="D495" s="104"/>
      <x:c r="E495" s="104"/>
      <x:c r="K495" s="104"/>
    </x:row>
    <x:row r="496">
      <x:c r="D496" s="104"/>
      <x:c r="E496" s="104"/>
      <x:c r="K496" s="104"/>
    </x:row>
    <x:row r="497">
      <x:c r="D497" s="104"/>
      <x:c r="E497" s="104"/>
      <x:c r="K497" s="104"/>
    </x:row>
    <x:row r="498">
      <x:c r="D498" s="104"/>
      <x:c r="E498" s="104"/>
      <x:c r="K498" s="104"/>
    </x:row>
    <x:row r="499">
      <x:c r="D499" s="104"/>
      <x:c r="E499" s="104"/>
      <x:c r="K499" s="104"/>
    </x:row>
    <x:row r="500">
      <x:c r="D500" s="104"/>
      <x:c r="E500" s="104"/>
      <x:c r="K500" s="104"/>
    </x:row>
    <x:row r="501">
      <x:c r="D501" s="104"/>
      <x:c r="E501" s="104"/>
      <x:c r="K501" s="104"/>
    </x:row>
    <x:row r="502">
      <x:c r="D502" s="104"/>
      <x:c r="E502" s="104"/>
      <x:c r="K502" s="104"/>
    </x:row>
    <x:row r="503">
      <x:c r="D503" s="104"/>
      <x:c r="E503" s="104"/>
      <x:c r="K503" s="104"/>
    </x:row>
    <x:row r="504">
      <x:c r="D504" s="104"/>
      <x:c r="E504" s="104"/>
      <x:c r="K504" s="104"/>
    </x:row>
    <x:row r="505">
      <x:c r="D505" s="104"/>
      <x:c r="E505" s="104"/>
      <x:c r="K505" s="104"/>
    </x:row>
    <x:row r="506">
      <x:c r="D506" s="104"/>
      <x:c r="E506" s="104"/>
      <x:c r="K506" s="104"/>
    </x:row>
    <x:row r="507">
      <x:c r="D507" s="104"/>
      <x:c r="E507" s="104"/>
      <x:c r="K507" s="104"/>
    </x:row>
    <x:row r="508">
      <x:c r="D508" s="104"/>
      <x:c r="E508" s="104"/>
      <x:c r="K508" s="104"/>
    </x:row>
    <x:row r="509">
      <x:c r="D509" s="104"/>
      <x:c r="E509" s="104"/>
      <x:c r="K509" s="104"/>
    </x:row>
    <x:row r="510">
      <x:c r="D510" s="104"/>
      <x:c r="E510" s="104"/>
      <x:c r="K510" s="104"/>
    </x:row>
    <x:row r="511">
      <x:c r="D511" s="104"/>
      <x:c r="E511" s="104"/>
      <x:c r="K511" s="104"/>
    </x:row>
    <x:row r="512">
      <x:c r="D512" s="104"/>
      <x:c r="E512" s="104"/>
      <x:c r="K512" s="104"/>
    </x:row>
    <x:row r="513">
      <x:c r="D513" s="104"/>
      <x:c r="E513" s="104"/>
      <x:c r="K513" s="104"/>
    </x:row>
    <x:row r="514">
      <x:c r="D514" s="104"/>
      <x:c r="E514" s="104"/>
      <x:c r="K514" s="104"/>
    </x:row>
    <x:row r="515">
      <x:c r="D515" s="104"/>
      <x:c r="E515" s="104"/>
      <x:c r="K515" s="104"/>
    </x:row>
    <x:row r="516">
      <x:c r="D516" s="104"/>
      <x:c r="E516" s="104"/>
      <x:c r="K516" s="104"/>
    </x:row>
    <x:row r="517">
      <x:c r="D517" s="104"/>
      <x:c r="E517" s="104"/>
      <x:c r="K517" s="104"/>
    </x:row>
    <x:row r="518">
      <x:c r="D518" s="104"/>
      <x:c r="E518" s="104"/>
      <x:c r="K518" s="104"/>
    </x:row>
    <x:row r="519">
      <x:c r="D519" s="104"/>
      <x:c r="E519" s="104"/>
      <x:c r="K519" s="104"/>
    </x:row>
    <x:row r="520">
      <x:c r="D520" s="104"/>
      <x:c r="E520" s="104"/>
      <x:c r="K520" s="104"/>
    </x:row>
    <x:row r="521">
      <x:c r="D521" s="104"/>
      <x:c r="E521" s="104"/>
      <x:c r="K521" s="104"/>
    </x:row>
    <x:row r="522">
      <x:c r="D522" s="104"/>
      <x:c r="E522" s="104"/>
      <x:c r="K522" s="104"/>
    </x:row>
    <x:row r="523">
      <x:c r="D523" s="104"/>
      <x:c r="E523" s="104"/>
      <x:c r="K523" s="104"/>
    </x:row>
    <x:row r="524">
      <x:c r="D524" s="104"/>
      <x:c r="E524" s="104"/>
      <x:c r="K524" s="104"/>
    </x:row>
    <x:row r="525">
      <x:c r="D525" s="104"/>
      <x:c r="E525" s="104"/>
      <x:c r="K525" s="104"/>
    </x:row>
    <x:row r="526">
      <x:c r="D526" s="104"/>
      <x:c r="E526" s="104"/>
      <x:c r="K526" s="104"/>
    </x:row>
    <x:row r="527">
      <x:c r="D527" s="104"/>
      <x:c r="E527" s="104"/>
      <x:c r="K527" s="104"/>
    </x:row>
    <x:row r="528">
      <x:c r="D528" s="104"/>
      <x:c r="E528" s="104"/>
      <x:c r="K528" s="104"/>
    </x:row>
    <x:row r="529">
      <x:c r="D529" s="104"/>
      <x:c r="E529" s="104"/>
      <x:c r="K529" s="104"/>
    </x:row>
    <x:row r="530">
      <x:c r="D530" s="104"/>
      <x:c r="E530" s="104"/>
      <x:c r="K530" s="104"/>
    </x:row>
    <x:row r="531">
      <x:c r="D531" s="104"/>
      <x:c r="E531" s="104"/>
      <x:c r="K531" s="104"/>
    </x:row>
    <x:row r="532">
      <x:c r="D532" s="104"/>
      <x:c r="E532" s="104"/>
      <x:c r="K532" s="104"/>
    </x:row>
    <x:row r="533">
      <x:c r="D533" s="104"/>
      <x:c r="E533" s="104"/>
      <x:c r="K533" s="104"/>
    </x:row>
    <x:row r="534">
      <x:c r="D534" s="104"/>
      <x:c r="E534" s="104"/>
      <x:c r="K534" s="104"/>
    </x:row>
    <x:row r="535">
      <x:c r="D535" s="104"/>
      <x:c r="E535" s="104"/>
      <x:c r="K535" s="104"/>
    </x:row>
    <x:row r="536">
      <x:c r="D536" s="104"/>
      <x:c r="E536" s="104"/>
      <x:c r="K536" s="104"/>
    </x:row>
    <x:row r="537">
      <x:c r="D537" s="104"/>
      <x:c r="E537" s="104"/>
      <x:c r="K537" s="104"/>
    </x:row>
    <x:row r="538">
      <x:c r="D538" s="104"/>
      <x:c r="E538" s="104"/>
      <x:c r="K538" s="104"/>
    </x:row>
    <x:row r="539">
      <x:c r="D539" s="104"/>
      <x:c r="E539" s="104"/>
      <x:c r="K539" s="104"/>
    </x:row>
    <x:row r="540">
      <x:c r="D540" s="104"/>
      <x:c r="E540" s="104"/>
      <x:c r="K540" s="104"/>
    </x:row>
    <x:row r="541">
      <x:c r="D541" s="104"/>
      <x:c r="E541" s="104"/>
      <x:c r="K541" s="104"/>
    </x:row>
    <x:row r="542">
      <x:c r="D542" s="104"/>
      <x:c r="E542" s="104"/>
      <x:c r="K542" s="104"/>
    </x:row>
    <x:row r="543">
      <x:c r="D543" s="104"/>
      <x:c r="E543" s="104"/>
      <x:c r="K543" s="104"/>
    </x:row>
    <x:row r="544">
      <x:c r="D544" s="104"/>
      <x:c r="E544" s="104"/>
      <x:c r="K544" s="104"/>
    </x:row>
    <x:row r="545">
      <x:c r="D545" s="104"/>
      <x:c r="E545" s="104"/>
      <x:c r="K545" s="104"/>
    </x:row>
    <x:row r="546">
      <x:c r="D546" s="104"/>
      <x:c r="E546" s="104"/>
      <x:c r="K546" s="104"/>
    </x:row>
    <x:row r="547">
      <x:c r="D547" s="104"/>
      <x:c r="E547" s="104"/>
      <x:c r="K547" s="104"/>
    </x:row>
    <x:row r="548">
      <x:c r="D548" s="104"/>
      <x:c r="E548" s="104"/>
      <x:c r="K548" s="104"/>
    </x:row>
    <x:row r="549">
      <x:c r="D549" s="104"/>
      <x:c r="E549" s="104"/>
      <x:c r="K549" s="104"/>
    </x:row>
    <x:row r="550">
      <x:c r="D550" s="104"/>
      <x:c r="E550" s="104"/>
      <x:c r="K550" s="104"/>
    </x:row>
    <x:row r="551">
      <x:c r="D551" s="104"/>
      <x:c r="E551" s="104"/>
      <x:c r="K551" s="104"/>
    </x:row>
    <x:row r="552">
      <x:c r="D552" s="104"/>
      <x:c r="E552" s="104"/>
      <x:c r="K552" s="104"/>
    </x:row>
    <x:row r="553">
      <x:c r="D553" s="104"/>
      <x:c r="E553" s="104"/>
      <x:c r="K553" s="104"/>
    </x:row>
    <x:row r="554">
      <x:c r="D554" s="104"/>
      <x:c r="E554" s="104"/>
      <x:c r="K554" s="104"/>
    </x:row>
    <x:row r="555">
      <x:c r="D555" s="104"/>
      <x:c r="E555" s="104"/>
      <x:c r="K555" s="104"/>
    </x:row>
    <x:row r="556">
      <x:c r="D556" s="104"/>
      <x:c r="E556" s="104"/>
      <x:c r="K556" s="104"/>
    </x:row>
    <x:row r="557">
      <x:c r="D557" s="104"/>
      <x:c r="E557" s="104"/>
      <x:c r="K557" s="104"/>
    </x:row>
    <x:row r="558">
      <x:c r="D558" s="104"/>
      <x:c r="E558" s="104"/>
      <x:c r="K558" s="104"/>
    </x:row>
    <x:row r="559">
      <x:c r="D559" s="104"/>
      <x:c r="E559" s="104"/>
      <x:c r="K559" s="104"/>
    </x:row>
    <x:row r="560">
      <x:c r="D560" s="104"/>
      <x:c r="E560" s="104"/>
      <x:c r="K560" s="104"/>
    </x:row>
    <x:row r="561">
      <x:c r="D561" s="104"/>
      <x:c r="E561" s="104"/>
      <x:c r="K561" s="104"/>
    </x:row>
    <x:row r="562">
      <x:c r="D562" s="104"/>
      <x:c r="E562" s="104"/>
      <x:c r="K562" s="104"/>
    </x:row>
    <x:row r="563">
      <x:c r="D563" s="104"/>
      <x:c r="E563" s="104"/>
      <x:c r="K563" s="104"/>
    </x:row>
    <x:row r="564">
      <x:c r="D564" s="104"/>
      <x:c r="E564" s="104"/>
      <x:c r="K564" s="104"/>
    </x:row>
    <x:row r="565">
      <x:c r="D565" s="104"/>
      <x:c r="E565" s="104"/>
      <x:c r="K565" s="104"/>
    </x:row>
    <x:row r="566">
      <x:c r="D566" s="104"/>
      <x:c r="E566" s="104"/>
      <x:c r="K566" s="104"/>
    </x:row>
    <x:row r="567">
      <x:c r="D567" s="104"/>
      <x:c r="E567" s="104"/>
      <x:c r="K567" s="104"/>
    </x:row>
    <x:row r="568">
      <x:c r="D568" s="104"/>
      <x:c r="E568" s="104"/>
      <x:c r="K568" s="104"/>
    </x:row>
    <x:row r="569">
      <x:c r="D569" s="104"/>
      <x:c r="E569" s="104"/>
      <x:c r="K569" s="104"/>
    </x:row>
    <x:row r="570">
      <x:c r="D570" s="104"/>
      <x:c r="E570" s="104"/>
      <x:c r="K570" s="104"/>
    </x:row>
    <x:row r="571">
      <x:c r="D571" s="104"/>
      <x:c r="E571" s="104"/>
      <x:c r="K571" s="104"/>
    </x:row>
    <x:row r="572">
      <x:c r="D572" s="104"/>
      <x:c r="E572" s="104"/>
      <x:c r="K572" s="104"/>
    </x:row>
    <x:row r="573">
      <x:c r="D573" s="104"/>
      <x:c r="E573" s="104"/>
      <x:c r="K573" s="104"/>
    </x:row>
    <x:row r="574">
      <x:c r="D574" s="104"/>
      <x:c r="E574" s="104"/>
      <x:c r="K574" s="104"/>
    </x:row>
    <x:row r="575">
      <x:c r="D575" s="104"/>
      <x:c r="E575" s="104"/>
      <x:c r="K575" s="104"/>
    </x:row>
    <x:row r="576">
      <x:c r="D576" s="104"/>
      <x:c r="E576" s="104"/>
      <x:c r="K576" s="104"/>
    </x:row>
    <x:row r="577">
      <x:c r="D577" s="104"/>
      <x:c r="E577" s="104"/>
      <x:c r="K577" s="104"/>
    </x:row>
    <x:row r="578">
      <x:c r="D578" s="104"/>
      <x:c r="E578" s="104"/>
      <x:c r="K578" s="104"/>
    </x:row>
    <x:row r="579">
      <x:c r="D579" s="104"/>
      <x:c r="E579" s="104"/>
      <x:c r="K579" s="104"/>
    </x:row>
    <x:row r="580">
      <x:c r="D580" s="104"/>
      <x:c r="E580" s="104"/>
      <x:c r="K580" s="104"/>
    </x:row>
    <x:row r="581">
      <x:c r="D581" s="104"/>
      <x:c r="E581" s="104"/>
      <x:c r="K581" s="104"/>
    </x:row>
    <x:row r="582">
      <x:c r="D582" s="104"/>
      <x:c r="E582" s="104"/>
      <x:c r="K582" s="104"/>
    </x:row>
    <x:row r="583">
      <x:c r="D583" s="104"/>
      <x:c r="E583" s="104"/>
      <x:c r="K583" s="104"/>
    </x:row>
    <x:row r="584">
      <x:c r="D584" s="104"/>
      <x:c r="E584" s="104"/>
      <x:c r="K584" s="104"/>
    </x:row>
    <x:row r="585">
      <x:c r="D585" s="104"/>
      <x:c r="E585" s="104"/>
      <x:c r="K585" s="104"/>
    </x:row>
    <x:row r="586">
      <x:c r="D586" s="104"/>
      <x:c r="E586" s="104"/>
      <x:c r="K586" s="104"/>
    </x:row>
    <x:row r="587">
      <x:c r="D587" s="104"/>
      <x:c r="E587" s="104"/>
      <x:c r="K587" s="104"/>
    </x:row>
    <x:row r="588">
      <x:c r="D588" s="104"/>
      <x:c r="E588" s="104"/>
      <x:c r="K588" s="104"/>
    </x:row>
    <x:row r="589">
      <x:c r="D589" s="104"/>
      <x:c r="E589" s="104"/>
      <x:c r="K589" s="104"/>
    </x:row>
    <x:row r="590">
      <x:c r="D590" s="104"/>
      <x:c r="E590" s="104"/>
      <x:c r="K590" s="104"/>
    </x:row>
    <x:row r="591">
      <x:c r="D591" s="104"/>
      <x:c r="E591" s="104"/>
      <x:c r="K591" s="104"/>
    </x:row>
    <x:row r="592">
      <x:c r="D592" s="104"/>
      <x:c r="E592" s="104"/>
      <x:c r="K592" s="104"/>
    </x:row>
    <x:row r="593">
      <x:c r="D593" s="104"/>
      <x:c r="E593" s="104"/>
      <x:c r="K593" s="104"/>
    </x:row>
    <x:row r="594">
      <x:c r="D594" s="104"/>
      <x:c r="E594" s="104"/>
      <x:c r="K594" s="104"/>
    </x:row>
    <x:row r="595">
      <x:c r="D595" s="104"/>
      <x:c r="E595" s="104"/>
      <x:c r="K595" s="104"/>
    </x:row>
    <x:row r="596">
      <x:c r="D596" s="104"/>
      <x:c r="E596" s="104"/>
      <x:c r="K596" s="104"/>
    </x:row>
    <x:row r="597">
      <x:c r="D597" s="104"/>
      <x:c r="E597" s="104"/>
      <x:c r="K597" s="104"/>
    </x:row>
    <x:row r="598">
      <x:c r="D598" s="104"/>
      <x:c r="E598" s="104"/>
      <x:c r="K598" s="104"/>
    </x:row>
    <x:row r="599">
      <x:c r="D599" s="104"/>
      <x:c r="E599" s="104"/>
      <x:c r="K599" s="104"/>
    </x:row>
    <x:row r="600">
      <x:c r="D600" s="104"/>
      <x:c r="E600" s="104"/>
      <x:c r="K600" s="104"/>
    </x:row>
    <x:row r="601">
      <x:c r="D601" s="104"/>
      <x:c r="E601" s="104"/>
      <x:c r="K601" s="104"/>
    </x:row>
    <x:row r="602">
      <x:c r="D602" s="104"/>
      <x:c r="E602" s="104"/>
      <x:c r="K602" s="104"/>
    </x:row>
    <x:row r="603">
      <x:c r="D603" s="104"/>
      <x:c r="E603" s="104"/>
      <x:c r="K603" s="104"/>
    </x:row>
    <x:row r="604">
      <x:c r="D604" s="104"/>
      <x:c r="E604" s="104"/>
      <x:c r="K604" s="104"/>
    </x:row>
    <x:row r="605">
      <x:c r="D605" s="104"/>
      <x:c r="E605" s="104"/>
      <x:c r="K605" s="104"/>
    </x:row>
    <x:row r="606">
      <x:c r="D606" s="104"/>
      <x:c r="E606" s="104"/>
      <x:c r="K606" s="104"/>
    </x:row>
    <x:row r="607">
      <x:c r="D607" s="104"/>
      <x:c r="E607" s="104"/>
      <x:c r="K607" s="104"/>
    </x:row>
    <x:row r="608">
      <x:c r="D608" s="104"/>
      <x:c r="E608" s="104"/>
      <x:c r="K608" s="104"/>
    </x:row>
    <x:row r="609">
      <x:c r="D609" s="104"/>
      <x:c r="E609" s="104"/>
      <x:c r="K609" s="104"/>
    </x:row>
    <x:row r="610">
      <x:c r="D610" s="104"/>
      <x:c r="E610" s="104"/>
      <x:c r="K610" s="104"/>
    </x:row>
    <x:row r="611">
      <x:c r="D611" s="104"/>
      <x:c r="E611" s="104"/>
      <x:c r="K611" s="104"/>
    </x:row>
    <x:row r="612">
      <x:c r="D612" s="104"/>
      <x:c r="E612" s="104"/>
      <x:c r="K612" s="104"/>
    </x:row>
    <x:row r="613">
      <x:c r="D613" s="104"/>
      <x:c r="E613" s="104"/>
      <x:c r="K613" s="104"/>
    </x:row>
    <x:row r="614">
      <x:c r="D614" s="104"/>
      <x:c r="E614" s="104"/>
      <x:c r="K614" s="104"/>
    </x:row>
    <x:row r="615">
      <x:c r="D615" s="104"/>
      <x:c r="E615" s="104"/>
      <x:c r="K615" s="104"/>
    </x:row>
    <x:row r="616">
      <x:c r="D616" s="104"/>
      <x:c r="E616" s="104"/>
      <x:c r="K616" s="104"/>
    </x:row>
    <x:row r="617">
      <x:c r="D617" s="104"/>
      <x:c r="E617" s="104"/>
      <x:c r="K617" s="104"/>
    </x:row>
    <x:row r="618">
      <x:c r="D618" s="104"/>
      <x:c r="E618" s="104"/>
      <x:c r="K618" s="104"/>
    </x:row>
    <x:row r="619">
      <x:c r="D619" s="104"/>
      <x:c r="E619" s="104"/>
      <x:c r="K619" s="104"/>
    </x:row>
    <x:row r="620">
      <x:c r="D620" s="104"/>
      <x:c r="E620" s="104"/>
      <x:c r="K620" s="104"/>
    </x:row>
    <x:row r="621">
      <x:c r="D621" s="104"/>
      <x:c r="E621" s="104"/>
      <x:c r="K621" s="104"/>
    </x:row>
    <x:row r="622">
      <x:c r="D622" s="104"/>
      <x:c r="E622" s="104"/>
      <x:c r="K622" s="104"/>
    </x:row>
    <x:row r="623">
      <x:c r="D623" s="104"/>
      <x:c r="E623" s="104"/>
      <x:c r="K623" s="104"/>
    </x:row>
    <x:row r="624">
      <x:c r="D624" s="104"/>
      <x:c r="E624" s="104"/>
      <x:c r="K624" s="104"/>
    </x:row>
    <x:row r="625">
      <x:c r="D625" s="104"/>
      <x:c r="E625" s="104"/>
      <x:c r="K625" s="104"/>
    </x:row>
    <x:row r="626">
      <x:c r="D626" s="104"/>
      <x:c r="E626" s="104"/>
      <x:c r="K626" s="104"/>
    </x:row>
    <x:row r="627">
      <x:c r="D627" s="104"/>
      <x:c r="E627" s="104"/>
      <x:c r="K627" s="104"/>
    </x:row>
    <x:row r="628">
      <x:c r="D628" s="104"/>
      <x:c r="E628" s="104"/>
      <x:c r="K628" s="104"/>
    </x:row>
    <x:row r="629">
      <x:c r="D629" s="104"/>
      <x:c r="E629" s="104"/>
      <x:c r="K629" s="104"/>
    </x:row>
    <x:row r="630">
      <x:c r="D630" s="104"/>
      <x:c r="E630" s="104"/>
      <x:c r="K630" s="104"/>
    </x:row>
    <x:row r="631">
      <x:c r="D631" s="104"/>
      <x:c r="E631" s="104"/>
      <x:c r="K631" s="104"/>
    </x:row>
    <x:row r="632">
      <x:c r="D632" s="104"/>
      <x:c r="E632" s="104"/>
      <x:c r="K632" s="104"/>
    </x:row>
    <x:row r="633">
      <x:c r="D633" s="104"/>
      <x:c r="E633" s="104"/>
      <x:c r="K633" s="104"/>
    </x:row>
    <x:row r="634">
      <x:c r="D634" s="104"/>
      <x:c r="E634" s="104"/>
      <x:c r="K634" s="104"/>
    </x:row>
    <x:row r="635">
      <x:c r="D635" s="104"/>
      <x:c r="E635" s="104"/>
      <x:c r="K635" s="104"/>
    </x:row>
    <x:row r="636">
      <x:c r="D636" s="104"/>
      <x:c r="E636" s="104"/>
      <x:c r="K636" s="104"/>
    </x:row>
    <x:row r="637">
      <x:c r="D637" s="104"/>
      <x:c r="E637" s="104"/>
      <x:c r="K637" s="104"/>
    </x:row>
    <x:row r="638">
      <x:c r="D638" s="104"/>
      <x:c r="E638" s="104"/>
      <x:c r="K638" s="104"/>
    </x:row>
    <x:row r="639">
      <x:c r="D639" s="104"/>
      <x:c r="E639" s="104"/>
      <x:c r="K639" s="104"/>
    </x:row>
    <x:row r="640">
      <x:c r="D640" s="104"/>
      <x:c r="E640" s="104"/>
      <x:c r="K640" s="104"/>
    </x:row>
    <x:row r="641">
      <x:c r="D641" s="104"/>
      <x:c r="E641" s="104"/>
      <x:c r="K641" s="104"/>
    </x:row>
    <x:row r="642">
      <x:c r="D642" s="104"/>
      <x:c r="E642" s="104"/>
      <x:c r="K642" s="104"/>
    </x:row>
    <x:row r="643">
      <x:c r="D643" s="104"/>
      <x:c r="E643" s="104"/>
      <x:c r="K643" s="104"/>
    </x:row>
    <x:row r="644">
      <x:c r="D644" s="104"/>
      <x:c r="E644" s="104"/>
      <x:c r="K644" s="104"/>
    </x:row>
    <x:row r="645">
      <x:c r="D645" s="104"/>
      <x:c r="E645" s="104"/>
      <x:c r="K645" s="104"/>
    </x:row>
    <x:row r="646">
      <x:c r="D646" s="104"/>
      <x:c r="E646" s="104"/>
      <x:c r="K646" s="104"/>
    </x:row>
    <x:row r="647">
      <x:c r="D647" s="104"/>
      <x:c r="E647" s="104"/>
      <x:c r="K647" s="104"/>
    </x:row>
    <x:row r="648">
      <x:c r="D648" s="104"/>
      <x:c r="E648" s="104"/>
      <x:c r="K648" s="104"/>
    </x:row>
    <x:row r="649">
      <x:c r="D649" s="104"/>
      <x:c r="E649" s="104"/>
      <x:c r="K649" s="104"/>
    </x:row>
    <x:row r="650">
      <x:c r="D650" s="104"/>
      <x:c r="E650" s="104"/>
      <x:c r="K650" s="104"/>
    </x:row>
    <x:row r="651">
      <x:c r="D651" s="104"/>
      <x:c r="E651" s="104"/>
      <x:c r="K651" s="104"/>
    </x:row>
    <x:row r="652">
      <x:c r="D652" s="104"/>
      <x:c r="E652" s="104"/>
      <x:c r="K652" s="104"/>
    </x:row>
    <x:row r="653">
      <x:c r="D653" s="104"/>
      <x:c r="E653" s="104"/>
      <x:c r="K653" s="104"/>
    </x:row>
    <x:row r="654">
      <x:c r="D654" s="104"/>
      <x:c r="E654" s="104"/>
      <x:c r="K654" s="104"/>
    </x:row>
    <x:row r="655">
      <x:c r="D655" s="104"/>
      <x:c r="E655" s="104"/>
      <x:c r="K655" s="104"/>
    </x:row>
    <x:row r="656">
      <x:c r="D656" s="104"/>
      <x:c r="E656" s="104"/>
      <x:c r="K656" s="104"/>
    </x:row>
    <x:row r="657">
      <x:c r="D657" s="104"/>
      <x:c r="E657" s="104"/>
      <x:c r="K657" s="104"/>
    </x:row>
    <x:row r="658">
      <x:c r="D658" s="104"/>
      <x:c r="E658" s="104"/>
      <x:c r="K658" s="104"/>
    </x:row>
    <x:row r="659">
      <x:c r="D659" s="104"/>
      <x:c r="E659" s="104"/>
      <x:c r="K659" s="104"/>
    </x:row>
    <x:row r="660">
      <x:c r="D660" s="104"/>
      <x:c r="E660" s="104"/>
      <x:c r="K660" s="104"/>
    </x:row>
    <x:row r="661">
      <x:c r="D661" s="104"/>
      <x:c r="E661" s="104"/>
      <x:c r="K661" s="104"/>
    </x:row>
    <x:row r="662">
      <x:c r="D662" s="104"/>
      <x:c r="E662" s="104"/>
      <x:c r="K662" s="104"/>
    </x:row>
    <x:row r="663">
      <x:c r="D663" s="104"/>
      <x:c r="E663" s="104"/>
      <x:c r="K663" s="104"/>
    </x:row>
    <x:row r="664">
      <x:c r="D664" s="104"/>
      <x:c r="E664" s="104"/>
      <x:c r="K664" s="104"/>
    </x:row>
    <x:row r="665">
      <x:c r="D665" s="104"/>
      <x:c r="E665" s="104"/>
      <x:c r="K665" s="104"/>
    </x:row>
    <x:row r="666">
      <x:c r="D666" s="104"/>
      <x:c r="E666" s="104"/>
      <x:c r="K666" s="104"/>
    </x:row>
    <x:row r="667">
      <x:c r="D667" s="104"/>
      <x:c r="E667" s="104"/>
      <x:c r="K667" s="104"/>
    </x:row>
    <x:row r="668">
      <x:c r="D668" s="104"/>
      <x:c r="E668" s="104"/>
      <x:c r="K668" s="104"/>
    </x:row>
    <x:row r="669">
      <x:c r="D669" s="104"/>
      <x:c r="E669" s="104"/>
      <x:c r="K669" s="104"/>
    </x:row>
    <x:row r="670">
      <x:c r="D670" s="104"/>
      <x:c r="E670" s="104"/>
      <x:c r="K670" s="104"/>
    </x:row>
    <x:row r="671">
      <x:c r="D671" s="104"/>
      <x:c r="E671" s="104"/>
      <x:c r="K671" s="104"/>
    </x:row>
    <x:row r="672">
      <x:c r="D672" s="104"/>
      <x:c r="E672" s="104"/>
      <x:c r="K672" s="104"/>
    </x:row>
    <x:row r="673">
      <x:c r="D673" s="104"/>
      <x:c r="E673" s="104"/>
      <x:c r="K673" s="104"/>
    </x:row>
    <x:row r="674">
      <x:c r="D674" s="104"/>
      <x:c r="E674" s="104"/>
      <x:c r="K674" s="104"/>
    </x:row>
    <x:row r="675">
      <x:c r="D675" s="104"/>
      <x:c r="E675" s="104"/>
      <x:c r="K675" s="104"/>
    </x:row>
    <x:row r="676">
      <x:c r="D676" s="104"/>
      <x:c r="E676" s="104"/>
      <x:c r="K676" s="104"/>
    </x:row>
    <x:row r="677">
      <x:c r="D677" s="104"/>
      <x:c r="E677" s="104"/>
      <x:c r="K677" s="104"/>
    </x:row>
    <x:row r="678">
      <x:c r="D678" s="104"/>
      <x:c r="E678" s="104"/>
      <x:c r="K678" s="104"/>
    </x:row>
    <x:row r="679">
      <x:c r="D679" s="104"/>
      <x:c r="E679" s="104"/>
      <x:c r="K679" s="104"/>
    </x:row>
    <x:row r="680">
      <x:c r="D680" s="104"/>
      <x:c r="E680" s="104"/>
      <x:c r="K680" s="104"/>
    </x:row>
    <x:row r="681">
      <x:c r="D681" s="104"/>
      <x:c r="E681" s="104"/>
      <x:c r="K681" s="104"/>
    </x:row>
    <x:row r="682">
      <x:c r="D682" s="104"/>
      <x:c r="E682" s="104"/>
      <x:c r="K682" s="104"/>
    </x:row>
    <x:row r="683">
      <x:c r="D683" s="104"/>
      <x:c r="E683" s="104"/>
      <x:c r="K683" s="104"/>
    </x:row>
    <x:row r="684">
      <x:c r="D684" s="104"/>
      <x:c r="E684" s="104"/>
      <x:c r="K684" s="104"/>
    </x:row>
    <x:row r="685">
      <x:c r="D685" s="104"/>
      <x:c r="E685" s="104"/>
      <x:c r="K685" s="104"/>
    </x:row>
    <x:row r="686">
      <x:c r="D686" s="104"/>
      <x:c r="E686" s="104"/>
      <x:c r="K686" s="104"/>
    </x:row>
    <x:row r="687">
      <x:c r="D687" s="104"/>
      <x:c r="E687" s="104"/>
      <x:c r="K687" s="104"/>
    </x:row>
    <x:row r="688">
      <x:c r="D688" s="104"/>
      <x:c r="E688" s="104"/>
      <x:c r="K688" s="104"/>
    </x:row>
    <x:row r="689">
      <x:c r="D689" s="104"/>
      <x:c r="E689" s="104"/>
      <x:c r="K689" s="104"/>
    </x:row>
    <x:row r="690">
      <x:c r="D690" s="104"/>
      <x:c r="E690" s="104"/>
      <x:c r="K690" s="104"/>
    </x:row>
    <x:row r="691">
      <x:c r="D691" s="104"/>
      <x:c r="E691" s="104"/>
      <x:c r="K691" s="104"/>
    </x:row>
    <x:row r="692">
      <x:c r="D692" s="104"/>
      <x:c r="E692" s="104"/>
      <x:c r="K692" s="104"/>
    </x:row>
    <x:row r="693">
      <x:c r="D693" s="104"/>
      <x:c r="E693" s="104"/>
      <x:c r="K693" s="104"/>
    </x:row>
    <x:row r="694">
      <x:c r="D694" s="104"/>
      <x:c r="E694" s="104"/>
      <x:c r="K694" s="104"/>
    </x:row>
    <x:row r="695">
      <x:c r="D695" s="104"/>
      <x:c r="E695" s="104"/>
      <x:c r="K695" s="104"/>
    </x:row>
    <x:row r="696">
      <x:c r="D696" s="104"/>
      <x:c r="E696" s="104"/>
      <x:c r="K696" s="104"/>
    </x:row>
    <x:row r="697">
      <x:c r="D697" s="104"/>
      <x:c r="E697" s="104"/>
      <x:c r="K697" s="104"/>
    </x:row>
    <x:row r="698">
      <x:c r="D698" s="104"/>
      <x:c r="E698" s="104"/>
      <x:c r="K698" s="104"/>
    </x:row>
    <x:row r="699">
      <x:c r="D699" s="104"/>
      <x:c r="E699" s="104"/>
      <x:c r="K699" s="104"/>
    </x:row>
    <x:row r="700">
      <x:c r="D700" s="104"/>
      <x:c r="E700" s="104"/>
      <x:c r="K700" s="104"/>
    </x:row>
    <x:row r="701">
      <x:c r="D701" s="104"/>
      <x:c r="E701" s="104"/>
      <x:c r="K701" s="104"/>
    </x:row>
    <x:row r="702">
      <x:c r="D702" s="104"/>
      <x:c r="E702" s="104"/>
      <x:c r="K702" s="104"/>
    </x:row>
    <x:row r="703">
      <x:c r="D703" s="104"/>
      <x:c r="E703" s="104"/>
      <x:c r="K703" s="104"/>
    </x:row>
    <x:row r="704">
      <x:c r="D704" s="104"/>
      <x:c r="E704" s="104"/>
      <x:c r="K704" s="104"/>
    </x:row>
    <x:row r="705">
      <x:c r="D705" s="104"/>
      <x:c r="E705" s="104"/>
      <x:c r="K705" s="104"/>
    </x:row>
    <x:row r="706">
      <x:c r="D706" s="104"/>
      <x:c r="E706" s="104"/>
      <x:c r="K706" s="104"/>
    </x:row>
    <x:row r="707">
      <x:c r="D707" s="104"/>
      <x:c r="E707" s="104"/>
      <x:c r="K707" s="104"/>
    </x:row>
    <x:row r="708">
      <x:c r="D708" s="104"/>
      <x:c r="E708" s="104"/>
      <x:c r="K708" s="104"/>
    </x:row>
    <x:row r="709">
      <x:c r="D709" s="104"/>
      <x:c r="E709" s="104"/>
      <x:c r="K709" s="104"/>
    </x:row>
    <x:row r="710">
      <x:c r="D710" s="104"/>
      <x:c r="E710" s="104"/>
      <x:c r="K710" s="104"/>
    </x:row>
    <x:row r="711">
      <x:c r="D711" s="104"/>
      <x:c r="E711" s="104"/>
      <x:c r="K711" s="104"/>
    </x:row>
    <x:row r="712">
      <x:c r="D712" s="104"/>
      <x:c r="E712" s="104"/>
      <x:c r="K712" s="104"/>
    </x:row>
    <x:row r="713">
      <x:c r="D713" s="104"/>
      <x:c r="E713" s="104"/>
      <x:c r="K713" s="104"/>
    </x:row>
    <x:row r="714">
      <x:c r="D714" s="104"/>
      <x:c r="E714" s="104"/>
      <x:c r="K714" s="104"/>
    </x:row>
    <x:row r="715">
      <x:c r="D715" s="104"/>
      <x:c r="E715" s="104"/>
      <x:c r="K715" s="104"/>
    </x:row>
    <x:row r="716">
      <x:c r="D716" s="104"/>
      <x:c r="E716" s="104"/>
      <x:c r="K716" s="104"/>
    </x:row>
    <x:row r="717">
      <x:c r="D717" s="104"/>
      <x:c r="E717" s="104"/>
      <x:c r="K717" s="104"/>
    </x:row>
    <x:row r="718">
      <x:c r="D718" s="104"/>
      <x:c r="E718" s="104"/>
      <x:c r="K718" s="104"/>
    </x:row>
    <x:row r="719">
      <x:c r="D719" s="104"/>
      <x:c r="E719" s="104"/>
      <x:c r="K719" s="104"/>
    </x:row>
    <x:row r="720">
      <x:c r="D720" s="104"/>
      <x:c r="E720" s="104"/>
      <x:c r="K720" s="104"/>
    </x:row>
    <x:row r="721">
      <x:c r="D721" s="104"/>
      <x:c r="E721" s="104"/>
      <x:c r="K721" s="104"/>
    </x:row>
    <x:row r="722">
      <x:c r="D722" s="104"/>
      <x:c r="E722" s="104"/>
      <x:c r="K722" s="104"/>
    </x:row>
    <x:row r="723">
      <x:c r="D723" s="104"/>
      <x:c r="E723" s="104"/>
      <x:c r="K723" s="104"/>
    </x:row>
    <x:row r="724">
      <x:c r="D724" s="104"/>
      <x:c r="E724" s="104"/>
      <x:c r="K724" s="104"/>
    </x:row>
    <x:row r="725">
      <x:c r="D725" s="104"/>
      <x:c r="E725" s="104"/>
      <x:c r="K725" s="104"/>
    </x:row>
    <x:row r="726">
      <x:c r="D726" s="104"/>
      <x:c r="E726" s="104"/>
      <x:c r="K726" s="104"/>
    </x:row>
    <x:row r="727">
      <x:c r="D727" s="104"/>
      <x:c r="E727" s="104"/>
      <x:c r="K727" s="104"/>
    </x:row>
    <x:row r="728">
      <x:c r="D728" s="104"/>
      <x:c r="E728" s="104"/>
      <x:c r="K728" s="104"/>
    </x:row>
    <x:row r="729">
      <x:c r="D729" s="104"/>
      <x:c r="E729" s="104"/>
      <x:c r="K729" s="104"/>
    </x:row>
    <x:row r="730">
      <x:c r="D730" s="104"/>
      <x:c r="E730" s="104"/>
      <x:c r="K730" s="104"/>
    </x:row>
    <x:row r="731">
      <x:c r="D731" s="104"/>
      <x:c r="E731" s="104"/>
      <x:c r="K731" s="104"/>
    </x:row>
    <x:row r="732">
      <x:c r="D732" s="104"/>
      <x:c r="E732" s="104"/>
      <x:c r="K732" s="104"/>
    </x:row>
    <x:row r="733">
      <x:c r="D733" s="104"/>
      <x:c r="E733" s="104"/>
      <x:c r="K733" s="104"/>
    </x:row>
    <x:row r="734">
      <x:c r="D734" s="104"/>
      <x:c r="E734" s="104"/>
      <x:c r="K734" s="104"/>
    </x:row>
    <x:row r="735">
      <x:c r="D735" s="104"/>
      <x:c r="E735" s="104"/>
      <x:c r="K735" s="104"/>
    </x:row>
    <x:row r="736">
      <x:c r="D736" s="104"/>
      <x:c r="E736" s="104"/>
      <x:c r="K736" s="104"/>
    </x:row>
    <x:row r="737">
      <x:c r="D737" s="104"/>
      <x:c r="E737" s="104"/>
      <x:c r="K737" s="104"/>
    </x:row>
    <x:row r="738">
      <x:c r="D738" s="104"/>
      <x:c r="E738" s="104"/>
      <x:c r="K738" s="104"/>
    </x:row>
    <x:row r="739">
      <x:c r="D739" s="104"/>
      <x:c r="E739" s="104"/>
      <x:c r="K739" s="104"/>
    </x:row>
    <x:row r="740">
      <x:c r="D740" s="104"/>
      <x:c r="E740" s="104"/>
      <x:c r="K740" s="104"/>
    </x:row>
    <x:row r="741">
      <x:c r="D741" s="104"/>
      <x:c r="E741" s="104"/>
      <x:c r="K741" s="104"/>
    </x:row>
    <x:row r="742">
      <x:c r="D742" s="104"/>
      <x:c r="E742" s="104"/>
      <x:c r="K742" s="104"/>
    </x:row>
    <x:row r="743">
      <x:c r="D743" s="104"/>
      <x:c r="E743" s="104"/>
      <x:c r="K743" s="104"/>
    </x:row>
    <x:row r="744">
      <x:c r="D744" s="104"/>
      <x:c r="E744" s="104"/>
      <x:c r="K744" s="104"/>
    </x:row>
    <x:row r="745">
      <x:c r="D745" s="104"/>
      <x:c r="E745" s="104"/>
      <x:c r="K745" s="104"/>
    </x:row>
    <x:row r="746">
      <x:c r="D746" s="104"/>
      <x:c r="E746" s="104"/>
      <x:c r="K746" s="104"/>
    </x:row>
    <x:row r="747">
      <x:c r="D747" s="104"/>
      <x:c r="E747" s="104"/>
      <x:c r="K747" s="104"/>
    </x:row>
    <x:row r="748">
      <x:c r="D748" s="104"/>
      <x:c r="E748" s="104"/>
      <x:c r="K748" s="104"/>
    </x:row>
    <x:row r="749">
      <x:c r="D749" s="104"/>
      <x:c r="E749" s="104"/>
      <x:c r="K749" s="104"/>
    </x:row>
    <x:row r="750">
      <x:c r="D750" s="104"/>
      <x:c r="E750" s="104"/>
      <x:c r="K750" s="104"/>
    </x:row>
    <x:row r="751">
      <x:c r="D751" s="104"/>
      <x:c r="E751" s="104"/>
      <x:c r="K751" s="104"/>
    </x:row>
    <x:row r="752">
      <x:c r="D752" s="104"/>
      <x:c r="E752" s="104"/>
      <x:c r="K752" s="104"/>
    </x:row>
    <x:row r="753">
      <x:c r="D753" s="104"/>
      <x:c r="E753" s="104"/>
      <x:c r="K753" s="104"/>
    </x:row>
    <x:row r="754">
      <x:c r="D754" s="104"/>
      <x:c r="E754" s="104"/>
      <x:c r="K754" s="104"/>
    </x:row>
    <x:row r="755">
      <x:c r="D755" s="104"/>
      <x:c r="E755" s="104"/>
      <x:c r="K755" s="104"/>
    </x:row>
    <x:row r="756">
      <x:c r="D756" s="104"/>
      <x:c r="E756" s="104"/>
      <x:c r="K756" s="104"/>
    </x:row>
    <x:row r="757">
      <x:c r="D757" s="104"/>
      <x:c r="E757" s="104"/>
      <x:c r="K757" s="104"/>
    </x:row>
    <x:row r="758">
      <x:c r="D758" s="104"/>
      <x:c r="E758" s="104"/>
      <x:c r="K758" s="104"/>
    </x:row>
    <x:row r="759">
      <x:c r="D759" s="104"/>
      <x:c r="E759" s="104"/>
      <x:c r="K759" s="104"/>
    </x:row>
    <x:row r="760">
      <x:c r="D760" s="104"/>
      <x:c r="E760" s="104"/>
      <x:c r="K760" s="104"/>
    </x:row>
    <x:row r="761">
      <x:c r="D761" s="104"/>
      <x:c r="E761" s="104"/>
      <x:c r="K761" s="104"/>
    </x:row>
    <x:row r="762">
      <x:c r="D762" s="104"/>
      <x:c r="E762" s="104"/>
      <x:c r="K762" s="104"/>
    </x:row>
    <x:row r="763">
      <x:c r="D763" s="104"/>
      <x:c r="E763" s="104"/>
      <x:c r="K763" s="104"/>
    </x:row>
    <x:row r="764">
      <x:c r="D764" s="104"/>
      <x:c r="E764" s="104"/>
      <x:c r="K764" s="104"/>
    </x:row>
    <x:row r="765">
      <x:c r="D765" s="104"/>
      <x:c r="E765" s="104"/>
      <x:c r="K765" s="104"/>
    </x:row>
    <x:row r="766">
      <x:c r="D766" s="104"/>
      <x:c r="E766" s="104"/>
      <x:c r="K766" s="104"/>
    </x:row>
    <x:row r="767">
      <x:c r="D767" s="104"/>
      <x:c r="E767" s="104"/>
      <x:c r="K767" s="104"/>
    </x:row>
    <x:row r="768">
      <x:c r="D768" s="104"/>
      <x:c r="E768" s="104"/>
      <x:c r="K768" s="104"/>
    </x:row>
    <x:row r="769">
      <x:c r="D769" s="104"/>
      <x:c r="E769" s="104"/>
      <x:c r="K769" s="104"/>
    </x:row>
    <x:row r="770">
      <x:c r="D770" s="104"/>
      <x:c r="E770" s="104"/>
      <x:c r="K770" s="104"/>
    </x:row>
    <x:row r="771">
      <x:c r="D771" s="104"/>
      <x:c r="E771" s="104"/>
      <x:c r="K771" s="104"/>
    </x:row>
    <x:row r="772">
      <x:c r="D772" s="104"/>
      <x:c r="E772" s="104"/>
      <x:c r="K772" s="104"/>
    </x:row>
    <x:row r="773">
      <x:c r="D773" s="104"/>
      <x:c r="E773" s="104"/>
      <x:c r="K773" s="104"/>
    </x:row>
    <x:row r="774">
      <x:c r="D774" s="104"/>
      <x:c r="E774" s="104"/>
      <x:c r="K774" s="104"/>
    </x:row>
    <x:row r="775">
      <x:c r="D775" s="104"/>
      <x:c r="E775" s="104"/>
      <x:c r="K775" s="104"/>
    </x:row>
    <x:row r="776">
      <x:c r="D776" s="104"/>
      <x:c r="E776" s="104"/>
      <x:c r="K776" s="104"/>
    </x:row>
    <x:row r="777">
      <x:c r="D777" s="104"/>
      <x:c r="E777" s="104"/>
      <x:c r="K777" s="104"/>
    </x:row>
    <x:row r="778">
      <x:c r="D778" s="104"/>
      <x:c r="E778" s="104"/>
      <x:c r="K778" s="104"/>
    </x:row>
    <x:row r="779">
      <x:c r="D779" s="104"/>
      <x:c r="E779" s="104"/>
      <x:c r="K779" s="104"/>
    </x:row>
    <x:row r="780">
      <x:c r="D780" s="104"/>
      <x:c r="E780" s="104"/>
      <x:c r="K780" s="104"/>
    </x:row>
    <x:row r="781">
      <x:c r="D781" s="104"/>
      <x:c r="E781" s="104"/>
      <x:c r="K781" s="104"/>
    </x:row>
    <x:row r="782">
      <x:c r="D782" s="104"/>
      <x:c r="E782" s="104"/>
      <x:c r="K782" s="104"/>
    </x:row>
    <x:row r="783">
      <x:c r="D783" s="104"/>
      <x:c r="E783" s="104"/>
      <x:c r="K783" s="104"/>
    </x:row>
    <x:row r="784">
      <x:c r="D784" s="104"/>
      <x:c r="E784" s="104"/>
      <x:c r="K784" s="104"/>
    </x:row>
    <x:row r="785">
      <x:c r="D785" s="104"/>
      <x:c r="E785" s="104"/>
      <x:c r="K785" s="104"/>
    </x:row>
    <x:row r="786">
      <x:c r="D786" s="104"/>
      <x:c r="E786" s="104"/>
      <x:c r="K786" s="104"/>
    </x:row>
    <x:row r="787">
      <x:c r="D787" s="104"/>
      <x:c r="E787" s="104"/>
      <x:c r="K787" s="104"/>
    </x:row>
    <x:row r="788">
      <x:c r="D788" s="104"/>
      <x:c r="E788" s="104"/>
      <x:c r="K788" s="104"/>
    </x:row>
    <x:row r="789">
      <x:c r="D789" s="104"/>
      <x:c r="E789" s="104"/>
      <x:c r="K789" s="104"/>
    </x:row>
    <x:row r="790">
      <x:c r="D790" s="104"/>
      <x:c r="E790" s="104"/>
      <x:c r="K790" s="104"/>
    </x:row>
    <x:row r="791">
      <x:c r="D791" s="104"/>
      <x:c r="E791" s="104"/>
      <x:c r="K791" s="104"/>
    </x:row>
    <x:row r="792">
      <x:c r="D792" s="104"/>
      <x:c r="E792" s="104"/>
      <x:c r="K792" s="104"/>
    </x:row>
    <x:row r="793">
      <x:c r="D793" s="104"/>
      <x:c r="E793" s="104"/>
      <x:c r="K793" s="104"/>
    </x:row>
    <x:row r="794">
      <x:c r="D794" s="104"/>
      <x:c r="E794" s="104"/>
      <x:c r="K794" s="104"/>
    </x:row>
    <x:row r="795">
      <x:c r="D795" s="104"/>
      <x:c r="E795" s="104"/>
      <x:c r="K795" s="104"/>
    </x:row>
    <x:row r="796">
      <x:c r="D796" s="104"/>
      <x:c r="E796" s="104"/>
      <x:c r="K796" s="104"/>
    </x:row>
    <x:row r="797">
      <x:c r="D797" s="104"/>
      <x:c r="E797" s="104"/>
      <x:c r="K797" s="104"/>
    </x:row>
    <x:row r="798">
      <x:c r="D798" s="104"/>
      <x:c r="E798" s="104"/>
      <x:c r="K798" s="104"/>
    </x:row>
    <x:row r="799">
      <x:c r="D799" s="104"/>
      <x:c r="E799" s="104"/>
      <x:c r="K799" s="104"/>
    </x:row>
    <x:row r="800">
      <x:c r="D800" s="104"/>
      <x:c r="E800" s="104"/>
      <x:c r="K800" s="104"/>
    </x:row>
    <x:row r="801">
      <x:c r="D801" s="104"/>
      <x:c r="E801" s="104"/>
      <x:c r="K801" s="104"/>
    </x:row>
    <x:row r="802">
      <x:c r="D802" s="104"/>
      <x:c r="E802" s="104"/>
      <x:c r="K802" s="104"/>
    </x:row>
    <x:row r="803">
      <x:c r="D803" s="104"/>
      <x:c r="E803" s="104"/>
      <x:c r="K803" s="104"/>
    </x:row>
    <x:row r="804">
      <x:c r="D804" s="104"/>
      <x:c r="E804" s="104"/>
      <x:c r="K804" s="104"/>
    </x:row>
    <x:row r="805">
      <x:c r="D805" s="104"/>
      <x:c r="E805" s="104"/>
      <x:c r="K805" s="104"/>
    </x:row>
    <x:row r="806">
      <x:c r="D806" s="104"/>
      <x:c r="E806" s="104"/>
      <x:c r="K806" s="104"/>
    </x:row>
    <x:row r="807">
      <x:c r="D807" s="104"/>
      <x:c r="E807" s="104"/>
      <x:c r="K807" s="104"/>
    </x:row>
    <x:row r="808">
      <x:c r="D808" s="104"/>
      <x:c r="E808" s="104"/>
      <x:c r="K808" s="104"/>
    </x:row>
    <x:row r="809">
      <x:c r="D809" s="104"/>
      <x:c r="E809" s="104"/>
      <x:c r="K809" s="104"/>
    </x:row>
    <x:row r="810">
      <x:c r="D810" s="104"/>
      <x:c r="E810" s="104"/>
      <x:c r="K810" s="104"/>
    </x:row>
    <x:row r="811">
      <x:c r="D811" s="104"/>
      <x:c r="E811" s="104"/>
      <x:c r="K811" s="104"/>
    </x:row>
    <x:row r="812">
      <x:c r="D812" s="104"/>
      <x:c r="E812" s="104"/>
      <x:c r="K812" s="104"/>
    </x:row>
    <x:row r="813">
      <x:c r="D813" s="104"/>
      <x:c r="E813" s="104"/>
      <x:c r="K813" s="104"/>
    </x:row>
    <x:row r="814">
      <x:c r="D814" s="104"/>
      <x:c r="E814" s="104"/>
      <x:c r="K814" s="104"/>
    </x:row>
    <x:row r="815">
      <x:c r="D815" s="104"/>
      <x:c r="E815" s="104"/>
      <x:c r="K815" s="104"/>
    </x:row>
    <x:row r="816">
      <x:c r="D816" s="104"/>
      <x:c r="E816" s="104"/>
      <x:c r="K816" s="104"/>
    </x:row>
    <x:row r="817">
      <x:c r="D817" s="104"/>
      <x:c r="E817" s="104"/>
      <x:c r="K817" s="104"/>
    </x:row>
    <x:row r="818">
      <x:c r="D818" s="104"/>
      <x:c r="E818" s="104"/>
      <x:c r="K818" s="104"/>
    </x:row>
    <x:row r="819">
      <x:c r="D819" s="104"/>
      <x:c r="E819" s="104"/>
      <x:c r="K819" s="104"/>
    </x:row>
    <x:row r="820">
      <x:c r="D820" s="104"/>
      <x:c r="E820" s="104"/>
      <x:c r="K820" s="104"/>
    </x:row>
    <x:row r="821">
      <x:c r="D821" s="104"/>
      <x:c r="E821" s="104"/>
      <x:c r="K821" s="104"/>
    </x:row>
    <x:row r="822">
      <x:c r="D822" s="104"/>
      <x:c r="E822" s="104"/>
      <x:c r="K822" s="104"/>
    </x:row>
    <x:row r="823">
      <x:c r="D823" s="104"/>
      <x:c r="E823" s="104"/>
      <x:c r="K823" s="104"/>
    </x:row>
    <x:row r="824">
      <x:c r="D824" s="104"/>
      <x:c r="E824" s="104"/>
      <x:c r="K824" s="104"/>
    </x:row>
    <x:row r="825">
      <x:c r="D825" s="104"/>
      <x:c r="E825" s="104"/>
      <x:c r="K825" s="104"/>
    </x:row>
    <x:row r="826">
      <x:c r="D826" s="104"/>
      <x:c r="E826" s="104"/>
      <x:c r="K826" s="104"/>
    </x:row>
    <x:row r="827">
      <x:c r="D827" s="104"/>
      <x:c r="E827" s="104"/>
      <x:c r="K827" s="104"/>
    </x:row>
    <x:row r="828">
      <x:c r="D828" s="104"/>
      <x:c r="E828" s="104"/>
      <x:c r="K828" s="104"/>
    </x:row>
    <x:row r="829">
      <x:c r="D829" s="104"/>
      <x:c r="E829" s="104"/>
      <x:c r="K829" s="104"/>
    </x:row>
    <x:row r="830">
      <x:c r="D830" s="104"/>
      <x:c r="E830" s="104"/>
      <x:c r="K830" s="104"/>
    </x:row>
    <x:row r="831">
      <x:c r="D831" s="104"/>
      <x:c r="E831" s="104"/>
      <x:c r="K831" s="104"/>
    </x:row>
    <x:row r="832">
      <x:c r="D832" s="104"/>
      <x:c r="E832" s="104"/>
      <x:c r="K832" s="104"/>
    </x:row>
    <x:row r="833">
      <x:c r="D833" s="104"/>
      <x:c r="E833" s="104"/>
      <x:c r="K833" s="104"/>
    </x:row>
    <x:row r="834">
      <x:c r="D834" s="104"/>
      <x:c r="E834" s="104"/>
      <x:c r="K834" s="104"/>
    </x:row>
    <x:row r="835">
      <x:c r="D835" s="104"/>
      <x:c r="E835" s="104"/>
      <x:c r="K835" s="104"/>
    </x:row>
    <x:row r="836">
      <x:c r="D836" s="104"/>
      <x:c r="E836" s="104"/>
      <x:c r="K836" s="104"/>
    </x:row>
    <x:row r="837">
      <x:c r="D837" s="104"/>
      <x:c r="E837" s="104"/>
      <x:c r="K837" s="104"/>
    </x:row>
    <x:row r="838">
      <x:c r="D838" s="104"/>
      <x:c r="E838" s="104"/>
      <x:c r="K838" s="104"/>
    </x:row>
    <x:row r="839">
      <x:c r="D839" s="104"/>
      <x:c r="E839" s="104"/>
      <x:c r="K839" s="104"/>
    </x:row>
    <x:row r="840">
      <x:c r="D840" s="104"/>
      <x:c r="E840" s="104"/>
      <x:c r="K840" s="104"/>
    </x:row>
    <x:row r="841">
      <x:c r="D841" s="104"/>
      <x:c r="E841" s="104"/>
      <x:c r="K841" s="104"/>
    </x:row>
    <x:row r="842">
      <x:c r="D842" s="104"/>
      <x:c r="E842" s="104"/>
      <x:c r="K842" s="104"/>
    </x:row>
    <x:row r="843">
      <x:c r="D843" s="104"/>
      <x:c r="E843" s="104"/>
      <x:c r="K843" s="104"/>
    </x:row>
    <x:row r="844">
      <x:c r="D844" s="104"/>
      <x:c r="E844" s="104"/>
      <x:c r="K844" s="104"/>
    </x:row>
    <x:row r="845">
      <x:c r="D845" s="104"/>
      <x:c r="E845" s="104"/>
      <x:c r="K845" s="104"/>
    </x:row>
    <x:row r="846">
      <x:c r="D846" s="104"/>
      <x:c r="E846" s="104"/>
      <x:c r="K846" s="104"/>
    </x:row>
    <x:row r="847">
      <x:c r="D847" s="104"/>
      <x:c r="E847" s="104"/>
      <x:c r="K847" s="104"/>
    </x:row>
    <x:row r="848">
      <x:c r="D848" s="104"/>
      <x:c r="E848" s="104"/>
      <x:c r="K848" s="104"/>
    </x:row>
    <x:row r="849">
      <x:c r="D849" s="104"/>
      <x:c r="E849" s="104"/>
      <x:c r="K849" s="104"/>
    </x:row>
    <x:row r="850">
      <x:c r="D850" s="104"/>
      <x:c r="E850" s="104"/>
      <x:c r="K850" s="104"/>
    </x:row>
    <x:row r="851">
      <x:c r="D851" s="104"/>
      <x:c r="E851" s="104"/>
      <x:c r="K851" s="104"/>
    </x:row>
    <x:row r="852">
      <x:c r="D852" s="104"/>
      <x:c r="E852" s="104"/>
      <x:c r="K852" s="104"/>
    </x:row>
    <x:row r="853">
      <x:c r="D853" s="104"/>
      <x:c r="E853" s="104"/>
      <x:c r="K853" s="104"/>
    </x:row>
    <x:row r="854">
      <x:c r="D854" s="104"/>
      <x:c r="E854" s="104"/>
      <x:c r="K854" s="104"/>
    </x:row>
    <x:row r="855">
      <x:c r="D855" s="104"/>
      <x:c r="E855" s="104"/>
      <x:c r="K855" s="104"/>
    </x:row>
    <x:row r="856">
      <x:c r="D856" s="104"/>
      <x:c r="E856" s="104"/>
      <x:c r="K856" s="104"/>
    </x:row>
    <x:row r="857">
      <x:c r="D857" s="104"/>
      <x:c r="E857" s="104"/>
      <x:c r="K857" s="104"/>
    </x:row>
    <x:row r="858">
      <x:c r="D858" s="104"/>
      <x:c r="E858" s="104"/>
      <x:c r="K858" s="104"/>
    </x:row>
    <x:row r="859">
      <x:c r="D859" s="104"/>
      <x:c r="E859" s="104"/>
      <x:c r="K859" s="104"/>
    </x:row>
    <x:row r="860">
      <x:c r="D860" s="104"/>
      <x:c r="E860" s="104"/>
      <x:c r="K860" s="104"/>
    </x:row>
    <x:row r="861">
      <x:c r="D861" s="104"/>
      <x:c r="E861" s="104"/>
      <x:c r="K861" s="104"/>
    </x:row>
    <x:row r="862">
      <x:c r="D862" s="104"/>
      <x:c r="E862" s="104"/>
      <x:c r="K862" s="104"/>
    </x:row>
    <x:row r="863">
      <x:c r="D863" s="104"/>
      <x:c r="E863" s="104"/>
      <x:c r="K863" s="104"/>
    </x:row>
    <x:row r="864">
      <x:c r="D864" s="104"/>
      <x:c r="E864" s="104"/>
      <x:c r="K864" s="104"/>
    </x:row>
    <x:row r="865">
      <x:c r="D865" s="104"/>
      <x:c r="E865" s="104"/>
      <x:c r="K865" s="104"/>
    </x:row>
    <x:row r="866">
      <x:c r="D866" s="104"/>
      <x:c r="E866" s="104"/>
      <x:c r="K866" s="104"/>
    </x:row>
    <x:row r="867">
      <x:c r="D867" s="104"/>
      <x:c r="E867" s="104"/>
      <x:c r="K867" s="104"/>
    </x:row>
    <x:row r="868">
      <x:c r="D868" s="104"/>
      <x:c r="E868" s="104"/>
      <x:c r="K868" s="104"/>
    </x:row>
    <x:row r="869">
      <x:c r="D869" s="104"/>
      <x:c r="E869" s="104"/>
      <x:c r="K869" s="104"/>
    </x:row>
    <x:row r="870">
      <x:c r="D870" s="104"/>
      <x:c r="E870" s="104"/>
      <x:c r="K870" s="104"/>
    </x:row>
    <x:row r="871">
      <x:c r="D871" s="104"/>
      <x:c r="E871" s="104"/>
      <x:c r="K871" s="104"/>
    </x:row>
    <x:row r="872">
      <x:c r="D872" s="104"/>
      <x:c r="E872" s="104"/>
      <x:c r="K872" s="104"/>
    </x:row>
    <x:row r="873">
      <x:c r="D873" s="104"/>
      <x:c r="E873" s="104"/>
      <x:c r="K873" s="104"/>
    </x:row>
    <x:row r="874">
      <x:c r="D874" s="104"/>
      <x:c r="E874" s="104"/>
      <x:c r="K874" s="104"/>
    </x:row>
    <x:row r="875">
      <x:c r="D875" s="104"/>
      <x:c r="E875" s="104"/>
      <x:c r="K875" s="104"/>
    </x:row>
    <x:row r="876">
      <x:c r="D876" s="104"/>
      <x:c r="E876" s="104"/>
      <x:c r="K876" s="104"/>
    </x:row>
    <x:row r="877">
      <x:c r="D877" s="104"/>
      <x:c r="E877" s="104"/>
      <x:c r="K877" s="104"/>
    </x:row>
    <x:row r="878">
      <x:c r="D878" s="104"/>
      <x:c r="E878" s="104"/>
      <x:c r="K878" s="104"/>
    </x:row>
    <x:row r="879">
      <x:c r="D879" s="104"/>
      <x:c r="E879" s="104"/>
      <x:c r="K879" s="104"/>
    </x:row>
    <x:row r="880">
      <x:c r="D880" s="104"/>
      <x:c r="E880" s="104"/>
      <x:c r="K880" s="104"/>
    </x:row>
    <x:row r="881">
      <x:c r="D881" s="104"/>
      <x:c r="E881" s="104"/>
      <x:c r="K881" s="104"/>
    </x:row>
    <x:row r="882">
      <x:c r="D882" s="104"/>
      <x:c r="E882" s="104"/>
      <x:c r="K882" s="104"/>
    </x:row>
    <x:row r="883">
      <x:c r="D883" s="104"/>
      <x:c r="E883" s="104"/>
      <x:c r="K883" s="104"/>
    </x:row>
    <x:row r="884">
      <x:c r="D884" s="104"/>
      <x:c r="E884" s="104"/>
      <x:c r="K884" s="104"/>
    </x:row>
    <x:row r="885">
      <x:c r="D885" s="104"/>
      <x:c r="E885" s="104"/>
      <x:c r="K885" s="104"/>
    </x:row>
    <x:row r="886">
      <x:c r="D886" s="104"/>
      <x:c r="E886" s="104"/>
      <x:c r="K886" s="104"/>
    </x:row>
    <x:row r="887">
      <x:c r="D887" s="104"/>
      <x:c r="E887" s="104"/>
      <x:c r="K887" s="104"/>
    </x:row>
    <x:row r="888">
      <x:c r="D888" s="104"/>
      <x:c r="E888" s="104"/>
      <x:c r="K888" s="104"/>
    </x:row>
    <x:row r="889">
      <x:c r="D889" s="104"/>
      <x:c r="E889" s="104"/>
      <x:c r="K889" s="104"/>
    </x:row>
    <x:row r="890">
      <x:c r="D890" s="104"/>
      <x:c r="E890" s="104"/>
      <x:c r="K890" s="104"/>
    </x:row>
    <x:row r="891">
      <x:c r="D891" s="104"/>
      <x:c r="E891" s="104"/>
      <x:c r="K891" s="104"/>
    </x:row>
    <x:row r="892">
      <x:c r="D892" s="104"/>
      <x:c r="E892" s="104"/>
      <x:c r="K892" s="104"/>
    </x:row>
    <x:row r="893">
      <x:c r="D893" s="104"/>
      <x:c r="E893" s="104"/>
      <x:c r="K893" s="104"/>
    </x:row>
    <x:row r="894">
      <x:c r="D894" s="104"/>
      <x:c r="E894" s="104"/>
      <x:c r="K894" s="104"/>
    </x:row>
    <x:row r="895">
      <x:c r="D895" s="104"/>
      <x:c r="E895" s="104"/>
      <x:c r="K895" s="104"/>
    </x:row>
    <x:row r="896">
      <x:c r="D896" s="104"/>
      <x:c r="E896" s="104"/>
      <x:c r="K896" s="104"/>
    </x:row>
    <x:row r="897">
      <x:c r="D897" s="104"/>
      <x:c r="E897" s="104"/>
      <x:c r="K897" s="104"/>
    </x:row>
    <x:row r="898">
      <x:c r="D898" s="104"/>
      <x:c r="E898" s="104"/>
      <x:c r="K898" s="104"/>
    </x:row>
    <x:row r="899">
      <x:c r="D899" s="104"/>
      <x:c r="E899" s="104"/>
      <x:c r="K899" s="104"/>
    </x:row>
    <x:row r="900">
      <x:c r="D900" s="104"/>
      <x:c r="E900" s="104"/>
      <x:c r="K900" s="104"/>
    </x:row>
    <x:row r="901">
      <x:c r="D901" s="104"/>
      <x:c r="E901" s="104"/>
      <x:c r="K901" s="104"/>
    </x:row>
    <x:row r="902">
      <x:c r="D902" s="104"/>
      <x:c r="E902" s="104"/>
      <x:c r="K902" s="104"/>
    </x:row>
    <x:row r="903">
      <x:c r="D903" s="104"/>
      <x:c r="E903" s="104"/>
      <x:c r="K903" s="104"/>
    </x:row>
    <x:row r="904">
      <x:c r="D904" s="104"/>
      <x:c r="E904" s="104"/>
      <x:c r="K904" s="104"/>
    </x:row>
    <x:row r="905">
      <x:c r="D905" s="104"/>
      <x:c r="E905" s="104"/>
      <x:c r="K905" s="104"/>
    </x:row>
    <x:row r="906">
      <x:c r="D906" s="104"/>
      <x:c r="E906" s="104"/>
      <x:c r="K906" s="104"/>
    </x:row>
    <x:row r="907">
      <x:c r="D907" s="104"/>
      <x:c r="E907" s="104"/>
      <x:c r="K907" s="104"/>
    </x:row>
    <x:row r="908">
      <x:c r="D908" s="104"/>
      <x:c r="E908" s="104"/>
      <x:c r="K908" s="104"/>
    </x:row>
    <x:row r="909">
      <x:c r="D909" s="104"/>
      <x:c r="E909" s="104"/>
      <x:c r="K909" s="104"/>
    </x:row>
    <x:row r="910">
      <x:c r="D910" s="104"/>
      <x:c r="E910" s="104"/>
      <x:c r="K910" s="104"/>
    </x:row>
    <x:row r="911">
      <x:c r="D911" s="104"/>
      <x:c r="E911" s="104"/>
      <x:c r="K911" s="104"/>
    </x:row>
    <x:row r="912">
      <x:c r="D912" s="104"/>
      <x:c r="E912" s="104"/>
      <x:c r="K912" s="104"/>
    </x:row>
    <x:row r="913">
      <x:c r="D913" s="104"/>
      <x:c r="E913" s="104"/>
      <x:c r="K913" s="104"/>
    </x:row>
    <x:row r="914">
      <x:c r="D914" s="104"/>
      <x:c r="E914" s="104"/>
      <x:c r="K914" s="104"/>
    </x:row>
    <x:row r="915">
      <x:c r="D915" s="104"/>
      <x:c r="E915" s="104"/>
      <x:c r="K915" s="104"/>
    </x:row>
    <x:row r="916">
      <x:c r="D916" s="104"/>
      <x:c r="E916" s="104"/>
      <x:c r="K916" s="104"/>
    </x:row>
    <x:row r="917">
      <x:c r="D917" s="104"/>
      <x:c r="E917" s="104"/>
      <x:c r="K917" s="104"/>
    </x:row>
    <x:row r="918">
      <x:c r="D918" s="104"/>
      <x:c r="E918" s="104"/>
      <x:c r="K918" s="104"/>
    </x:row>
    <x:row r="919">
      <x:c r="D919" s="104"/>
      <x:c r="E919" s="104"/>
      <x:c r="K919" s="104"/>
    </x:row>
    <x:row r="920">
      <x:c r="D920" s="104"/>
      <x:c r="E920" s="104"/>
      <x:c r="K920" s="104"/>
    </x:row>
    <x:row r="921">
      <x:c r="D921" s="104"/>
      <x:c r="E921" s="104"/>
      <x:c r="K921" s="104"/>
    </x:row>
    <x:row r="922">
      <x:c r="D922" s="104"/>
      <x:c r="E922" s="104"/>
      <x:c r="K922" s="104"/>
    </x:row>
    <x:row r="923">
      <x:c r="D923" s="104"/>
      <x:c r="E923" s="104"/>
      <x:c r="K923" s="104"/>
    </x:row>
    <x:row r="924">
      <x:c r="D924" s="104"/>
      <x:c r="E924" s="104"/>
      <x:c r="K924" s="104"/>
    </x:row>
    <x:row r="925">
      <x:c r="D925" s="104"/>
      <x:c r="E925" s="104"/>
      <x:c r="K925" s="104"/>
    </x:row>
    <x:row r="926">
      <x:c r="D926" s="104"/>
      <x:c r="E926" s="104"/>
      <x:c r="K926" s="104"/>
    </x:row>
    <x:row r="927">
      <x:c r="D927" s="104"/>
      <x:c r="E927" s="104"/>
      <x:c r="K927" s="104"/>
    </x:row>
    <x:row r="928">
      <x:c r="D928" s="104"/>
      <x:c r="E928" s="104"/>
      <x:c r="K928" s="104"/>
    </x:row>
    <x:row r="929">
      <x:c r="D929" s="104"/>
      <x:c r="E929" s="104"/>
      <x:c r="K929" s="104"/>
    </x:row>
    <x:row r="930">
      <x:c r="D930" s="104"/>
      <x:c r="E930" s="104"/>
      <x:c r="K930" s="104"/>
    </x:row>
    <x:row r="931">
      <x:c r="D931" s="104"/>
      <x:c r="E931" s="104"/>
      <x:c r="K931" s="104"/>
    </x:row>
    <x:row r="932">
      <x:c r="D932" s="104"/>
      <x:c r="E932" s="104"/>
      <x:c r="K932" s="104"/>
    </x:row>
    <x:row r="933">
      <x:c r="D933" s="104"/>
      <x:c r="E933" s="104"/>
      <x:c r="K933" s="104"/>
    </x:row>
    <x:row r="934">
      <x:c r="D934" s="104"/>
      <x:c r="E934" s="104"/>
      <x:c r="K934" s="104"/>
    </x:row>
    <x:row r="935">
      <x:c r="D935" s="104"/>
      <x:c r="E935" s="104"/>
      <x:c r="K935" s="104"/>
    </x:row>
    <x:row r="936">
      <x:c r="D936" s="104"/>
      <x:c r="E936" s="104"/>
      <x:c r="K936" s="104"/>
    </x:row>
    <x:row r="937">
      <x:c r="D937" s="104"/>
      <x:c r="E937" s="104"/>
      <x:c r="K937" s="104"/>
    </x:row>
    <x:row r="938">
      <x:c r="D938" s="104"/>
      <x:c r="E938" s="104"/>
      <x:c r="K938" s="104"/>
    </x:row>
    <x:row r="939">
      <x:c r="D939" s="104"/>
      <x:c r="E939" s="104"/>
      <x:c r="K939" s="104"/>
    </x:row>
    <x:row r="940">
      <x:c r="D940" s="104"/>
      <x:c r="E940" s="104"/>
      <x:c r="K940" s="104"/>
    </x:row>
    <x:row r="941">
      <x:c r="D941" s="104"/>
      <x:c r="E941" s="104"/>
      <x:c r="K941" s="104"/>
    </x:row>
    <x:row r="942">
      <x:c r="D942" s="104"/>
      <x:c r="E942" s="104"/>
      <x:c r="K942" s="104"/>
    </x:row>
    <x:row r="943">
      <x:c r="D943" s="104"/>
      <x:c r="E943" s="104"/>
      <x:c r="K943" s="104"/>
    </x:row>
    <x:row r="944">
      <x:c r="D944" s="104"/>
      <x:c r="E944" s="104"/>
      <x:c r="K944" s="104"/>
    </x:row>
    <x:row r="945">
      <x:c r="D945" s="104"/>
      <x:c r="E945" s="104"/>
      <x:c r="K945" s="104"/>
    </x:row>
    <x:row r="946">
      <x:c r="D946" s="104"/>
      <x:c r="E946" s="104"/>
      <x:c r="K946" s="104"/>
    </x:row>
    <x:row r="947">
      <x:c r="D947" s="104"/>
      <x:c r="E947" s="104"/>
      <x:c r="K947" s="104"/>
    </x:row>
    <x:row r="948">
      <x:c r="D948" s="104"/>
      <x:c r="E948" s="104"/>
      <x:c r="K948" s="104"/>
    </x:row>
    <x:row r="949">
      <x:c r="D949" s="104"/>
      <x:c r="E949" s="104"/>
      <x:c r="K949" s="104"/>
    </x:row>
    <x:row r="950">
      <x:c r="D950" s="104"/>
      <x:c r="E950" s="104"/>
      <x:c r="K950" s="104"/>
    </x:row>
    <x:row r="951">
      <x:c r="D951" s="104"/>
      <x:c r="E951" s="104"/>
      <x:c r="K951" s="104"/>
    </x:row>
    <x:row r="952">
      <x:c r="D952" s="104"/>
      <x:c r="E952" s="104"/>
      <x:c r="K952" s="104"/>
    </x:row>
    <x:row r="953">
      <x:c r="D953" s="104"/>
      <x:c r="E953" s="104"/>
      <x:c r="K953" s="104"/>
    </x:row>
    <x:row r="954">
      <x:c r="D954" s="104"/>
      <x:c r="E954" s="104"/>
      <x:c r="K954" s="104"/>
    </x:row>
    <x:row r="955">
      <x:c r="D955" s="104"/>
      <x:c r="E955" s="104"/>
      <x:c r="K955" s="104"/>
    </x:row>
    <x:row r="956">
      <x:c r="D956" s="104"/>
      <x:c r="E956" s="104"/>
      <x:c r="K956" s="104"/>
    </x:row>
    <x:row r="957">
      <x:c r="D957" s="104"/>
      <x:c r="E957" s="104"/>
      <x:c r="K957" s="104"/>
    </x:row>
    <x:row r="958">
      <x:c r="D958" s="104"/>
      <x:c r="E958" s="104"/>
      <x:c r="K958" s="104"/>
    </x:row>
    <x:row r="959">
      <x:c r="D959" s="104"/>
      <x:c r="E959" s="104"/>
      <x:c r="K959" s="104"/>
    </x:row>
    <x:row r="960">
      <x:c r="D960" s="104"/>
      <x:c r="E960" s="104"/>
      <x:c r="K960" s="104"/>
    </x:row>
    <x:row r="961">
      <x:c r="D961" s="104"/>
      <x:c r="E961" s="104"/>
      <x:c r="K961" s="104"/>
    </x:row>
    <x:row r="962">
      <x:c r="D962" s="104"/>
      <x:c r="E962" s="104"/>
      <x:c r="K962" s="104"/>
    </x:row>
    <x:row r="963">
      <x:c r="D963" s="104"/>
      <x:c r="E963" s="104"/>
      <x:c r="K963" s="104"/>
    </x:row>
    <x:row r="964">
      <x:c r="D964" s="104"/>
      <x:c r="E964" s="104"/>
      <x:c r="K964" s="104"/>
    </x:row>
    <x:row r="965">
      <x:c r="D965" s="104"/>
      <x:c r="E965" s="104"/>
      <x:c r="K965" s="104"/>
    </x:row>
    <x:row r="966">
      <x:c r="D966" s="104"/>
      <x:c r="E966" s="104"/>
      <x:c r="K966" s="104"/>
    </x:row>
    <x:row r="967">
      <x:c r="D967" s="104"/>
      <x:c r="E967" s="104"/>
      <x:c r="K967" s="104"/>
    </x:row>
    <x:row r="968">
      <x:c r="D968" s="104"/>
      <x:c r="E968" s="104"/>
      <x:c r="K968" s="104"/>
    </x:row>
    <x:row r="969">
      <x:c r="D969" s="104"/>
      <x:c r="E969" s="104"/>
      <x:c r="K969" s="104"/>
    </x:row>
    <x:row r="970">
      <x:c r="D970" s="104"/>
      <x:c r="E970" s="104"/>
      <x:c r="K970" s="104"/>
    </x:row>
    <x:row r="971">
      <x:c r="D971" s="104"/>
      <x:c r="E971" s="104"/>
      <x:c r="K971" s="104"/>
    </x:row>
    <x:row r="972">
      <x:c r="D972" s="104"/>
      <x:c r="E972" s="104"/>
      <x:c r="K972" s="104"/>
    </x:row>
    <x:row r="973">
      <x:c r="D973" s="104"/>
      <x:c r="E973" s="104"/>
      <x:c r="K973" s="104"/>
    </x:row>
    <x:row r="974">
      <x:c r="D974" s="104"/>
      <x:c r="E974" s="104"/>
      <x:c r="K974" s="104"/>
    </x:row>
    <x:row r="975">
      <x:c r="D975" s="104"/>
      <x:c r="E975" s="104"/>
      <x:c r="K975" s="104"/>
    </x:row>
    <x:row r="976">
      <x:c r="D976" s="104"/>
      <x:c r="E976" s="104"/>
      <x:c r="K976" s="104"/>
    </x:row>
    <x:row r="977">
      <x:c r="D977" s="104"/>
      <x:c r="E977" s="104"/>
      <x:c r="K977" s="104"/>
    </x:row>
    <x:row r="978">
      <x:c r="D978" s="104"/>
      <x:c r="E978" s="104"/>
      <x:c r="K978" s="104"/>
    </x:row>
    <x:row r="979">
      <x:c r="D979" s="104"/>
      <x:c r="E979" s="104"/>
      <x:c r="K979" s="104"/>
    </x:row>
    <x:row r="980">
      <x:c r="D980" s="104"/>
      <x:c r="E980" s="104"/>
      <x:c r="K980" s="104"/>
    </x:row>
    <x:row r="981">
      <x:c r="D981" s="104"/>
      <x:c r="E981" s="104"/>
      <x:c r="K981" s="104"/>
    </x:row>
    <x:row r="982">
      <x:c r="D982" s="104"/>
      <x:c r="E982" s="104"/>
      <x:c r="K982" s="104"/>
    </x:row>
    <x:row r="983">
      <x:c r="D983" s="104"/>
      <x:c r="E983" s="104"/>
      <x:c r="K983" s="104"/>
    </x:row>
    <x:row r="984">
      <x:c r="D984" s="104"/>
      <x:c r="E984" s="104"/>
      <x:c r="K984" s="104"/>
    </x:row>
    <x:row r="985">
      <x:c r="D985" s="104"/>
      <x:c r="E985" s="104"/>
      <x:c r="K985" s="104"/>
    </x:row>
    <x:row r="986">
      <x:c r="D986" s="104"/>
      <x:c r="E986" s="104"/>
      <x:c r="K986" s="104"/>
    </x:row>
    <x:row r="987">
      <x:c r="D987" s="104"/>
      <x:c r="E987" s="104"/>
      <x:c r="K987" s="104"/>
    </x:row>
    <x:row r="988">
      <x:c r="D988" s="104"/>
      <x:c r="E988" s="104"/>
      <x:c r="K988" s="104"/>
    </x:row>
    <x:row r="989">
      <x:c r="D989" s="104"/>
      <x:c r="E989" s="104"/>
      <x:c r="K989" s="104"/>
    </x:row>
    <x:row r="990">
      <x:c r="D990" s="104"/>
      <x:c r="E990" s="104"/>
      <x:c r="K990" s="104"/>
    </x:row>
    <x:row r="991">
      <x:c r="D991" s="104"/>
      <x:c r="E991" s="104"/>
      <x:c r="K991" s="104"/>
    </x:row>
    <x:row r="992">
      <x:c r="D992" s="104"/>
      <x:c r="E992" s="104"/>
      <x:c r="K992" s="104"/>
    </x:row>
    <x:row r="993">
      <x:c r="D993" s="104"/>
      <x:c r="E993" s="104"/>
      <x:c r="K993" s="104"/>
    </x:row>
    <x:row r="994">
      <x:c r="D994" s="104"/>
      <x:c r="E994" s="104"/>
      <x:c r="K994" s="104"/>
    </x:row>
    <x:row r="995">
      <x:c r="D995" s="104"/>
      <x:c r="E995" s="104"/>
      <x:c r="K995" s="104"/>
    </x:row>
    <x:row r="996">
      <x:c r="D996" s="104"/>
      <x:c r="E996" s="104"/>
      <x:c r="K996" s="104"/>
    </x:row>
    <x:row r="997">
      <x:c r="D997" s="104"/>
      <x:c r="E997" s="104"/>
      <x:c r="K997" s="104"/>
    </x:row>
    <x:row r="998">
      <x:c r="D998" s="104"/>
      <x:c r="E998" s="104"/>
      <x:c r="K998" s="104"/>
    </x:row>
    <x:row r="999">
      <x:c r="D999" s="104"/>
      <x:c r="E999" s="104"/>
      <x:c r="K999" s="104"/>
    </x:row>
    <x:row r="1000">
      <x:c r="D1000" s="104"/>
      <x:c r="E1000" s="104"/>
      <x:c r="K1000" s="104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6455aaae782b4ec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  <x:col min="3" max="3" width="58" hidden="0" customWidth="1"/>
    <x:col min="4" max="4" width="36" hidden="0" customWidth="1"/>
  </x:cols>
  <x:sheetData>
    <x:row r="1" ht="28" customHeight="1">
      <x:c r="A1" s="5" t="str">
        <x:v>Operations Control Tower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2" customHeight="1">
      <x:c r="A2" s="13" t="str">
        <x:v>Executive KPI dashboard with SLA, TAT, backlog and exception risk.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24" customHeight="1">
      <x:c r="A4" s="22" t="str">
        <x:v>KPI</x:v>
      </x:c>
      <x:c r="B4" s="22"/>
      <x:c r="C4" s="22" t="str">
        <x:v>Target</x:v>
      </x:c>
      <x:c r="D4" s="22"/>
      <x:c r="F4" s="22" t="str">
        <x:v>Team</x:v>
      </x:c>
      <x:c r="G4" s="22" t="str">
        <x:v>Volume</x:v>
      </x:c>
      <x:c r="H4" s="22" t="str">
        <x:v>SLA %</x:v>
      </x:c>
      <x:c r="I4" s="22" t="str">
        <x:v>Avg TAT</x:v>
      </x:c>
      <x:c r="J4" s="22" t="str">
        <x:v>Backlog</x:v>
      </x:c>
      <x:c r="K4" s="22" t="str">
        <x:v>Risk Count</x:v>
      </x:c>
    </x:row>
    <x:row r="5">
      <x:c r="A5" s="52" t="str">
        <x:v>Total Case Volume</x:v>
      </x:c>
      <x:c r="B5" s="106" t="n">
        <x:f>SUM(Raw_Data!D5:D76)</x:f>
        <x:v>89625</x:v>
      </x:c>
      <x:c r="C5" s="53" t="str"/>
      <x:c r="D5" s="54"/>
      <x:c r="F5" s="34" t="str">
        <x:v>KYC Ops</x:v>
      </x:c>
      <x:c r="G5" s="116" t="n">
        <x:f>SUMIF(Raw_Data!$B$5:$B$76,F5,Raw_Data!$D$5:$D$76)</x:f>
        <x:v>18132</x:v>
      </x:c>
      <x:c r="H5" s="117" t="n">
        <x:f>SUMIF(Raw_Data!$B$5:$B$76,F5,Raw_Data!$E$5:$E$76)/G5</x:f>
        <x:v>0.8801014780498566</x:v>
      </x:c>
      <x:c r="I5" s="118" t="n">
        <x:f>SUMIF(Raw_Data!$B$5:$B$76,F5,Raw_Data!$F$5:$F$76)/COUNTIF(Raw_Data!$B$5:$B$76,F5)</x:f>
        <x:v>29.391666666666666</x:v>
      </x:c>
      <x:c r="J5" s="116" t="n">
        <x:f>SUMIF(Raw_Data!$B$5:$B$76,F5,Raw_Data!$G$5:$G$76)</x:f>
        <x:v>2830</x:v>
      </x:c>
      <x:c r="K5" s="119" t="n">
        <x:f>COUNTIFS(Raw_Data!$B$5:$B$76,F5,Raw_Data!$N$5:$N$76,"At Risk")</x:f>
        <x:v>12</x:v>
      </x:c>
    </x:row>
    <x:row r="6">
      <x:c r="A6" s="55" t="str">
        <x:v>SLA Adherence</x:v>
      </x:c>
      <x:c r="B6" s="89" t="n">
        <x:f>SUM(Raw_Data!E5:E76)/SUM(Raw_Data!D5:D76)</x:f>
        <x:v>0.8789177126917713</x:v>
      </x:c>
      <x:c r="C6" s="89" t="n">
        <x:f>Assumptions!B5</x:f>
        <x:v>0.9</x:v>
      </x:c>
      <x:c r="D6" s="57" t="str">
        <x:f>IF(B6&gt;=C6,"Green","Red")</x:f>
        <x:v>Red</x:v>
      </x:c>
      <x:c r="F6" s="37" t="str">
        <x:v>Payments Ops</x:v>
      </x:c>
      <x:c r="G6" s="120" t="n">
        <x:f>SUMIF(Raw_Data!$B$5:$B$76,F6,Raw_Data!$D$5:$D$76)</x:f>
        <x:v>12305</x:v>
      </x:c>
      <x:c r="H6" s="121" t="n">
        <x:f>SUMIF(Raw_Data!$B$5:$B$76,F6,Raw_Data!$E$5:$E$76)/G6</x:f>
        <x:v>0.895814709467696</x:v>
      </x:c>
      <x:c r="I6" s="122" t="n">
        <x:f>SUMIF(Raw_Data!$B$5:$B$76,F6,Raw_Data!$F$5:$F$76)/COUNTIF(Raw_Data!$B$5:$B$76,F6)</x:f>
        <x:v>28.166666666666668</x:v>
      </x:c>
      <x:c r="J6" s="120" t="n">
        <x:f>SUMIF(Raw_Data!$B$5:$B$76,F6,Raw_Data!$G$5:$G$76)</x:f>
        <x:v>2275</x:v>
      </x:c>
      <x:c r="K6" s="123" t="n">
        <x:f>COUNTIFS(Raw_Data!$B$5:$B$76,F6,Raw_Data!$N$5:$N$76,"At Risk")</x:f>
        <x:v>12</x:v>
      </x:c>
    </x:row>
    <x:row r="7">
      <x:c r="A7" s="55" t="str">
        <x:v>Avg TAT Hours</x:v>
      </x:c>
      <x:c r="B7" s="108" t="n">
        <x:f>AVERAGE(Raw_Data!F5:F76)</x:f>
        <x:v>29.480555555555554</x:v>
      </x:c>
      <x:c r="C7" s="108" t="n">
        <x:f>Assumptions!B6</x:f>
        <x:v>24</x:v>
      </x:c>
      <x:c r="D7" s="57" t="str">
        <x:f>IF(B7&lt;=C7,"Green","Red")</x:f>
        <x:v>Red</x:v>
      </x:c>
      <x:c r="F7" s="37" t="str">
        <x:v>Customer Support</x:v>
      </x:c>
      <x:c r="G7" s="120" t="n">
        <x:f>SUMIF(Raw_Data!$B$5:$B$76,F7,Raw_Data!$D$5:$D$76)</x:f>
        <x:v>17139</x:v>
      </x:c>
      <x:c r="H7" s="121" t="n">
        <x:f>SUMIF(Raw_Data!$B$5:$B$76,F7,Raw_Data!$E$5:$E$76)/G7</x:f>
        <x:v>0.8862244004901103</x:v>
      </x:c>
      <x:c r="I7" s="122" t="n">
        <x:f>SUMIF(Raw_Data!$B$5:$B$76,F7,Raw_Data!$F$5:$F$76)/COUNTIF(Raw_Data!$B$5:$B$76,F7)</x:f>
        <x:v>31.60833333333333</x:v>
      </x:c>
      <x:c r="J7" s="120" t="n">
        <x:f>SUMIF(Raw_Data!$B$5:$B$76,F7,Raw_Data!$G$5:$G$76)</x:f>
        <x:v>2361</x:v>
      </x:c>
      <x:c r="K7" s="123" t="n">
        <x:f>COUNTIFS(Raw_Data!$B$5:$B$76,F7,Raw_Data!$N$5:$N$76,"At Risk")</x:f>
        <x:v>12</x:v>
      </x:c>
    </x:row>
    <x:row r="8">
      <x:c r="A8" s="55" t="str">
        <x:v>Total Backlog</x:v>
      </x:c>
      <x:c r="B8" s="110" t="n">
        <x:f>SUM(Raw_Data!G5:G76)</x:f>
        <x:v>15738</x:v>
      </x:c>
      <x:c r="C8" s="108" t="str"/>
      <x:c r="D8" s="57"/>
      <x:c r="F8" s="37" t="str">
        <x:v>Risk Review</x:v>
      </x:c>
      <x:c r="G8" s="120" t="n">
        <x:f>SUMIF(Raw_Data!$B$5:$B$76,F8,Raw_Data!$D$5:$D$76)</x:f>
        <x:v>15326</x:v>
      </x:c>
      <x:c r="H8" s="121" t="n">
        <x:f>SUMIF(Raw_Data!$B$5:$B$76,F8,Raw_Data!$E$5:$E$76)/G8</x:f>
        <x:v>0.8563878376614903</x:v>
      </x:c>
      <x:c r="I8" s="122" t="n">
        <x:f>SUMIF(Raw_Data!$B$5:$B$76,F8,Raw_Data!$F$5:$F$76)/COUNTIF(Raw_Data!$B$5:$B$76,F8)</x:f>
        <x:v>31.783333333333342</x:v>
      </x:c>
      <x:c r="J8" s="120" t="n">
        <x:f>SUMIF(Raw_Data!$B$5:$B$76,F8,Raw_Data!$G$5:$G$76)</x:f>
        <x:v>3206</x:v>
      </x:c>
      <x:c r="K8" s="123" t="n">
        <x:f>COUNTIFS(Raw_Data!$B$5:$B$76,F8,Raw_Data!$N$5:$N$76,"At Risk")</x:f>
        <x:v>11</x:v>
      </x:c>
    </x:row>
    <x:row r="9">
      <x:c r="A9" s="55" t="str">
        <x:v>Avg Backlog Age Hrs</x:v>
      </x:c>
      <x:c r="B9" s="108" t="n">
        <x:f>AVERAGE(Raw_Data!H5:H76)</x:f>
        <x:v>81.12777777777777</x:v>
      </x:c>
      <x:c r="C9" s="108" t="n">
        <x:f>Assumptions!B7</x:f>
        <x:v>72</x:v>
      </x:c>
      <x:c r="D9" s="57" t="str">
        <x:f>IF(B9&lt;=C9,"Green","Red")</x:f>
        <x:v>Red</x:v>
      </x:c>
      <x:c r="F9" s="37" t="str">
        <x:v>Finance Ops</x:v>
      </x:c>
      <x:c r="G9" s="120" t="n">
        <x:f>SUMIF(Raw_Data!$B$5:$B$76,F9,Raw_Data!$D$5:$D$76)</x:f>
        <x:v>12770</x:v>
      </x:c>
      <x:c r="H9" s="121" t="n">
        <x:f>SUMIF(Raw_Data!$B$5:$B$76,F9,Raw_Data!$E$5:$E$76)/G9</x:f>
        <x:v>0.8914643696162882</x:v>
      </x:c>
      <x:c r="I9" s="122" t="n">
        <x:f>SUMIF(Raw_Data!$B$5:$B$76,F9,Raw_Data!$F$5:$F$76)/COUNTIF(Raw_Data!$B$5:$B$76,F9)</x:f>
        <x:v>27.625</x:v>
      </x:c>
      <x:c r="J9" s="120" t="n">
        <x:f>SUMIF(Raw_Data!$B$5:$B$76,F9,Raw_Data!$G$5:$G$76)</x:f>
        <x:v>2748</x:v>
      </x:c>
      <x:c r="K9" s="123" t="n">
        <x:f>COUNTIFS(Raw_Data!$B$5:$B$76,F9,Raw_Data!$N$5:$N$76,"At Risk")</x:f>
        <x:v>9</x:v>
      </x:c>
    </x:row>
    <x:row r="10">
      <x:c r="A10" s="55" t="str">
        <x:v>Rework Rate</x:v>
      </x:c>
      <x:c r="B10" s="89" t="n">
        <x:f>SUM(Raw_Data!I5:I76)/SUM(Raw_Data!D5:D76)</x:f>
        <x:v>0.0831018131101813</x:v>
      </x:c>
      <x:c r="C10" s="89" t="n">
        <x:f>Assumptions!B8</x:f>
        <x:v>0.08</x:v>
      </x:c>
      <x:c r="D10" s="57" t="str">
        <x:f>IF(B10&lt;=C10,"Green","Red")</x:f>
        <x:v>Red</x:v>
      </x:c>
      <x:c r="F10" s="40" t="str">
        <x:v>Vendor Ops</x:v>
      </x:c>
      <x:c r="G10" s="124" t="n">
        <x:f>SUMIF(Raw_Data!$B$5:$B$76,F10,Raw_Data!$D$5:$D$76)</x:f>
        <x:v>13953</x:v>
      </x:c>
      <x:c r="H10" s="125" t="n">
        <x:f>SUMIF(Raw_Data!$B$5:$B$76,F10,Raw_Data!$E$5:$E$76)/G10</x:f>
        <x:v>0.8667670035117896</x:v>
      </x:c>
      <x:c r="I10" s="126" t="n">
        <x:f>SUMIF(Raw_Data!$B$5:$B$76,F10,Raw_Data!$F$5:$F$76)/COUNTIF(Raw_Data!$B$5:$B$76,F10)</x:f>
        <x:v>28.308333333333334</x:v>
      </x:c>
      <x:c r="J10" s="124" t="n">
        <x:f>SUMIF(Raw_Data!$B$5:$B$76,F10,Raw_Data!$G$5:$G$76)</x:f>
        <x:v>2318</x:v>
      </x:c>
      <x:c r="K10" s="127" t="n">
        <x:f>COUNTIFS(Raw_Data!$B$5:$B$76,F10,Raw_Data!$N$5:$N$76,"At Risk")</x:f>
        <x:v>7</x:v>
      </x:c>
    </x:row>
    <x:row r="11">
      <x:c r="A11" s="55" t="str">
        <x:v>Escalation Rate</x:v>
      </x:c>
      <x:c r="B11" s="89" t="n">
        <x:f>SUM(Raw_Data!J5:J76)/SUM(Raw_Data!D5:D76)</x:f>
        <x:v>0.08698465829846583</x:v>
      </x:c>
      <x:c r="C11" s="89" t="n">
        <x:f>Assumptions!B9</x:f>
        <x:v>0.1</x:v>
      </x:c>
      <x:c r="D11" s="57" t="str">
        <x:f>IF(B11&lt;=C11,"Green","Red")</x:f>
        <x:v>Green</x:v>
      </x:c>
    </x:row>
    <x:row r="12">
      <x:c r="A12" s="58" t="str">
        <x:v>At-Risk Team-Weeks</x:v>
      </x:c>
      <x:c r="B12" s="112" t="n">
        <x:f>COUNTIF(Raw_Data!N5:N76,"At Risk")</x:f>
        <x:v>63</x:v>
      </x:c>
      <x:c r="C12" s="59" t="str"/>
      <x:c r="D12" s="60"/>
    </x:row>
    <x:row r="15">
      <x:c r="A15" s="141" t="str">
        <x:v>Management Interpretation</x:v>
      </x:c>
      <x:c r="B15" s="141"/>
      <x:c r="C15" s="141"/>
      <x:c r="D15" s="141"/>
      <x:c r="E15" s="141"/>
      <x:c r="F15" s="141"/>
      <x:c r="G15" s="141"/>
      <x:c r="H15" s="141"/>
      <x:c r="I15" s="141"/>
      <x:c r="J15" s="141"/>
      <x:c r="K15" s="141"/>
    </x:row>
    <x:row r="17" ht="24" customHeight="1">
      <x:c r="A17" s="22" t="str">
        <x:v>Priority</x:v>
      </x:c>
      <x:c r="B17" s="22" t="str">
        <x:v>Observation</x:v>
      </x:c>
      <x:c r="C17" s="22" t="str">
        <x:v>Recommended action</x:v>
      </x:c>
      <x:c r="D17" s="22" t="str">
        <x:v>Metric impacted</x:v>
      </x:c>
    </x:row>
    <x:row r="18">
      <x:c r="A18" s="52" t="str">
        <x:v>1</x:v>
      </x:c>
      <x:c r="B18" s="53" t="str">
        <x:v>Teams with high backlog and TAT create SLA breach risk.</x:v>
      </x:c>
      <x:c r="C18" s="53" t="str">
        <x:v>Introduce queue triage, aging alerts and staffing flex pool.</x:v>
      </x:c>
      <x:c r="D18" s="54" t="str">
        <x:v>SLA %, Avg TAT, Backlog Age</x:v>
      </x:c>
    </x:row>
    <x:row r="19">
      <x:c r="A19" s="55" t="str">
        <x:v>2</x:v>
      </x:c>
      <x:c r="B19" s="56" t="str">
        <x:v>Rework and escalation rates indicate SOP/quality gaps.</x:v>
      </x:c>
      <x:c r="C19" s="56" t="str">
        <x:v>Add first-pass QA, knowledge base updates and exception coding.</x:v>
      </x:c>
      <x:c r="D19" s="57" t="str">
        <x:v>Rework Rate, Escalation Rate</x:v>
      </x:c>
    </x:row>
    <x:row r="20">
      <x:c r="A20" s="58" t="str">
        <x:v>3</x:v>
      </x:c>
      <x:c r="B20" s="59" t="str">
        <x:v>High volume teams need weekly control tower cadence.</x:v>
      </x:c>
      <x:c r="C20" s="59" t="str">
        <x:v>Create weekly review pack with owners, deadlines and impact tracking.</x:v>
      </x:c>
      <x:c r="D20" s="60" t="str">
        <x:v>Backlog, Productivity, Cost per Case</x:v>
      </x:c>
    </x:row>
  </x:sheetData>
  <x:mergeCells>
    <x:mergeCell ref="A1:K1"/>
    <x:mergeCell ref="A2:K2"/>
    <x:mergeCell ref="A15:K15"/>
  </x:mergeCells>
  <x:pageMargins left="0.7" right="0.7" top="0.75" bottom="0.75" header="0.3" footer="0.3"/>
  <x:drawing xmlns:r="http://schemas.openxmlformats.org/officeDocument/2006/relationships" r:id="R394d73a6791b4bb9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42" hidden="0" customWidth="1"/>
    <x:col min="4" max="4" width="50" hidden="0" customWidth="1"/>
    <x:col min="5" max="5" width="20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5" t="str">
        <x:v>Root-Cause Analysis</x:v>
      </x:c>
      <x:c r="B1" s="5"/>
      <x:c r="C1" s="5"/>
      <x:c r="D1" s="5"/>
      <x:c r="E1" s="5"/>
      <x:c r="F1" s="5"/>
      <x:c r="G1" s="5"/>
      <x:c r="H1" s="5"/>
    </x:row>
    <x:row r="2" ht="22" customHeight="1">
      <x:c r="A2" s="13" t="str">
        <x:v>Bottleneck hypotheses and management controls.</x:v>
      </x:c>
      <x:c r="B2" s="13"/>
      <x:c r="C2" s="13"/>
      <x:c r="D2" s="13"/>
      <x:c r="E2" s="13"/>
      <x:c r="F2" s="13"/>
      <x:c r="G2" s="13"/>
      <x:c r="H2" s="13"/>
    </x:row>
    <x:row r="4" ht="24" customHeight="1">
      <x:c r="A4" s="22" t="str">
        <x:v>Issue</x:v>
      </x:c>
      <x:c r="B4" s="22" t="str">
        <x:v>Evidence</x:v>
      </x:c>
      <x:c r="C4" s="22" t="str">
        <x:v>Likely root cause</x:v>
      </x:c>
      <x:c r="D4" s="22" t="str">
        <x:v>Control / Redesign</x:v>
      </x:c>
      <x:c r="E4" s="22" t="str">
        <x:v>Owner</x:v>
      </x:c>
      <x:c r="F4" s="22" t="str">
        <x:v>Impact</x:v>
      </x:c>
      <x:c r="G4" s="22" t="str">
        <x:v>Effort</x:v>
      </x:c>
      <x:c r="H4" s="22" t="str">
        <x:v>Priority</x:v>
      </x:c>
    </x:row>
    <x:row r="5">
      <x:c r="A5" s="52" t="str">
        <x:v>SLA breach risk</x:v>
      </x:c>
      <x:c r="B5" s="53" t="str">
        <x:v>Low SLA weeks and high backlog age</x:v>
      </x:c>
      <x:c r="C5" s="53" t="str">
        <x:v>Cases enter same queue without complexity-based routing</x:v>
      </x:c>
      <x:c r="D5" s="53" t="str">
        <x:v>Create priority queue + aging-based alerts</x:v>
      </x:c>
      <x:c r="E5" s="53" t="str">
        <x:v>Ops Lead</x:v>
      </x:c>
      <x:c r="F5" s="53" t="str">
        <x:v>High</x:v>
      </x:c>
      <x:c r="G5" s="53" t="str">
        <x:v>Medium</x:v>
      </x:c>
      <x:c r="H5" s="54" t="str">
        <x:v>P1</x:v>
      </x:c>
    </x:row>
    <x:row r="6">
      <x:c r="A6" s="55" t="str">
        <x:v>High TAT</x:v>
      </x:c>
      <x:c r="B6" s="56" t="str">
        <x:v>Avg TAT above target in some teams</x:v>
      </x:c>
      <x:c r="C6" s="56" t="str">
        <x:v>Manual validation and handoffs</x:v>
      </x:c>
      <x:c r="D6" s="56" t="str">
        <x:v>Introduce checklist automation + standard decision tree</x:v>
      </x:c>
      <x:c r="E6" s="56" t="str">
        <x:v>Process Excellence</x:v>
      </x:c>
      <x:c r="F6" s="56" t="str">
        <x:v>High</x:v>
      </x:c>
      <x:c r="G6" s="56" t="str">
        <x:v>Medium</x:v>
      </x:c>
      <x:c r="H6" s="57" t="str">
        <x:v>P1</x:v>
      </x:c>
    </x:row>
    <x:row r="7">
      <x:c r="A7" s="55" t="str">
        <x:v>High rework</x:v>
      </x:c>
      <x:c r="B7" s="56" t="str">
        <x:v>Rework rate above threshold</x:v>
      </x:c>
      <x:c r="C7" s="56" t="str">
        <x:v>Poor first-pass data capture</x:v>
      </x:c>
      <x:c r="D7" s="56" t="str">
        <x:v>Add intake validation and SOP updates</x:v>
      </x:c>
      <x:c r="E7" s="56" t="str">
        <x:v>Quality Lead</x:v>
      </x:c>
      <x:c r="F7" s="56" t="str">
        <x:v>Medium</x:v>
      </x:c>
      <x:c r="G7" s="56" t="str">
        <x:v>Low</x:v>
      </x:c>
      <x:c r="H7" s="57" t="str">
        <x:v>P2</x:v>
      </x:c>
    </x:row>
    <x:row r="8">
      <x:c r="A8" s="55" t="str">
        <x:v>High escalation</x:v>
      </x:c>
      <x:c r="B8" s="56" t="str">
        <x:v>Escalation share above threshold</x:v>
      </x:c>
      <x:c r="C8" s="56" t="str">
        <x:v>Missing L1 authority or policy ambiguity</x:v>
      </x:c>
      <x:c r="D8" s="56" t="str">
        <x:v>Revise escalation matrix and knowledge base</x:v>
      </x:c>
      <x:c r="E8" s="56" t="str">
        <x:v>Ops Manager</x:v>
      </x:c>
      <x:c r="F8" s="56" t="str">
        <x:v>Medium</x:v>
      </x:c>
      <x:c r="G8" s="56" t="str">
        <x:v>Low</x:v>
      </x:c>
      <x:c r="H8" s="57" t="str">
        <x:v>P2</x:v>
      </x:c>
    </x:row>
    <x:row r="9">
      <x:c r="A9" s="58" t="str">
        <x:v>Productivity variance</x:v>
      </x:c>
      <x:c r="B9" s="59" t="str">
        <x:v>Cases per agent varies across teams</x:v>
      </x:c>
      <x:c r="C9" s="59" t="str">
        <x:v>Uneven volume allocation and skill mismatch</x:v>
      </x:c>
      <x:c r="D9" s="59" t="str">
        <x:v>Cross-train agents and rebalance workload</x:v>
      </x:c>
      <x:c r="E9" s="59" t="str">
        <x:v>Workforce Lead</x:v>
      </x:c>
      <x:c r="F9" s="59" t="str">
        <x:v>Medium</x:v>
      </x:c>
      <x:c r="G9" s="59" t="str">
        <x:v>Medium</x:v>
      </x:c>
      <x:c r="H9" s="60" t="str">
        <x:v>P3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20" hidden="0" customWidth="1"/>
    <x:col min="4" max="4" width="55" hidden="0" customWidth="1"/>
    <x:col min="5" max="5" width="20" hidden="0" customWidth="1"/>
    <x:col min="6" max="6" width="22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90-Day Process Improvement Plan</x:v>
      </x:c>
      <x:c r="B1" s="5"/>
      <x:c r="C1" s="5"/>
      <x:c r="D1" s="5"/>
      <x:c r="E1" s="5"/>
      <x:c r="F1" s="5"/>
      <x:c r="G1" s="5"/>
      <x:c r="H1" s="5"/>
    </x:row>
    <x:row r="2" ht="22" customHeight="1">
      <x:c r="A2" s="13" t="str">
        <x:v>Roadmap for dashboard adoption, process redesign and operating cadence.</x:v>
      </x:c>
      <x:c r="B2" s="13"/>
      <x:c r="C2" s="13"/>
      <x:c r="D2" s="13"/>
      <x:c r="E2" s="13"/>
      <x:c r="F2" s="13"/>
      <x:c r="G2" s="13"/>
      <x:c r="H2" s="13"/>
    </x:row>
    <x:row r="4" ht="24" customHeight="1">
      <x:c r="A4" s="22" t="str">
        <x:v>Phase</x:v>
      </x:c>
      <x:c r="B4" s="22" t="str">
        <x:v>Week</x:v>
      </x:c>
      <x:c r="C4" s="22" t="str">
        <x:v>Workstream</x:v>
      </x:c>
      <x:c r="D4" s="22" t="str">
        <x:v>Action</x:v>
      </x:c>
      <x:c r="E4" s="22" t="str">
        <x:v>Owner</x:v>
      </x:c>
      <x:c r="F4" s="22" t="str">
        <x:v>KPI</x:v>
      </x:c>
      <x:c r="G4" s="22" t="str">
        <x:v>Expected Impact</x:v>
      </x:c>
      <x:c r="H4" s="22" t="str">
        <x:v>Status</x:v>
      </x:c>
    </x:row>
    <x:row r="5">
      <x:c r="A5" s="52" t="str">
        <x:v>Diagnose</x:v>
      </x:c>
      <x:c r="B5" s="53" t="str">
        <x:v>1-2</x:v>
      </x:c>
      <x:c r="C5" s="53" t="str">
        <x:v>Data</x:v>
      </x:c>
      <x:c r="D5" s="53" t="str">
        <x:v>Standardize case taxonomy, queue, channel and exception categories</x:v>
      </x:c>
      <x:c r="E5" s="53" t="str">
        <x:v>BA + Ops</x:v>
      </x:c>
      <x:c r="F5" s="53" t="str">
        <x:v>Data completeness</x:v>
      </x:c>
      <x:c r="G5" s="53" t="str">
        <x:v>High</x:v>
      </x:c>
      <x:c r="H5" s="54" t="str">
        <x:v>Not Started</x:v>
      </x:c>
    </x:row>
    <x:row r="6">
      <x:c r="A6" s="55" t="str">
        <x:v>Diagnose</x:v>
      </x:c>
      <x:c r="B6" s="56" t="str">
        <x:v>1-2</x:v>
      </x:c>
      <x:c r="C6" s="56" t="str">
        <x:v>Control Tower</x:v>
      </x:c>
      <x:c r="D6" s="56" t="str">
        <x:v>Launch weekly dashboard with SLA, TAT, backlog, rework and escalation metrics</x:v>
      </x:c>
      <x:c r="E6" s="56" t="str">
        <x:v>BA</x:v>
      </x:c>
      <x:c r="F6" s="56" t="str">
        <x:v>Dashboard adoption</x:v>
      </x:c>
      <x:c r="G6" s="56" t="str">
        <x:v>High</x:v>
      </x:c>
      <x:c r="H6" s="57" t="str">
        <x:v>Not Started</x:v>
      </x:c>
    </x:row>
    <x:row r="7">
      <x:c r="A7" s="55" t="str">
        <x:v>Redesign</x:v>
      </x:c>
      <x:c r="B7" s="56" t="str">
        <x:v>3-6</x:v>
      </x:c>
      <x:c r="C7" s="56" t="str">
        <x:v>Queue</x:v>
      </x:c>
      <x:c r="D7" s="56" t="str">
        <x:v>Build P1/P2/P3 routing based on aging, customer type and exception reason</x:v>
      </x:c>
      <x:c r="E7" s="56" t="str">
        <x:v>Ops Lead</x:v>
      </x:c>
      <x:c r="F7" s="56" t="str">
        <x:v>Backlog aging</x:v>
      </x:c>
      <x:c r="G7" s="56" t="str">
        <x:v>High</x:v>
      </x:c>
      <x:c r="H7" s="57" t="str">
        <x:v>Not Started</x:v>
      </x:c>
    </x:row>
    <x:row r="8">
      <x:c r="A8" s="55" t="str">
        <x:v>Redesign</x:v>
      </x:c>
      <x:c r="B8" s="56" t="str">
        <x:v>3-6</x:v>
      </x:c>
      <x:c r="C8" s="56" t="str">
        <x:v>SOP</x:v>
      </x:c>
      <x:c r="D8" s="56" t="str">
        <x:v>Update SOPs for top 5 rework reasons and escalation triggers</x:v>
      </x:c>
      <x:c r="E8" s="56" t="str">
        <x:v>Quality Lead</x:v>
      </x:c>
      <x:c r="F8" s="56" t="str">
        <x:v>Rework rate</x:v>
      </x:c>
      <x:c r="G8" s="56" t="str">
        <x:v>Medium</x:v>
      </x:c>
      <x:c r="H8" s="57" t="str">
        <x:v>Not Started</x:v>
      </x:c>
    </x:row>
    <x:row r="9">
      <x:c r="A9" s="55" t="str">
        <x:v>Scale</x:v>
      </x:c>
      <x:c r="B9" s="56" t="str">
        <x:v>7-12</x:v>
      </x:c>
      <x:c r="C9" s="56" t="str">
        <x:v>Automation</x:v>
      </x:c>
      <x:c r="D9" s="56" t="str">
        <x:v>Automate intake validation and recurring exception categorization</x:v>
      </x:c>
      <x:c r="E9" s="56" t="str">
        <x:v>Automation Lead</x:v>
      </x:c>
      <x:c r="F9" s="56" t="str">
        <x:v>Manual touch rate</x:v>
      </x:c>
      <x:c r="G9" s="56" t="str">
        <x:v>High</x:v>
      </x:c>
      <x:c r="H9" s="57" t="str">
        <x:v>Not Started</x:v>
      </x:c>
    </x:row>
    <x:row r="10">
      <x:c r="A10" s="58" t="str">
        <x:v>Scale</x:v>
      </x:c>
      <x:c r="B10" s="59" t="str">
        <x:v>7-12</x:v>
      </x:c>
      <x:c r="C10" s="59" t="str">
        <x:v>Governance</x:v>
      </x:c>
      <x:c r="D10" s="59" t="str">
        <x:v>Set weekly owner review and monthly leadership business review</x:v>
      </x:c>
      <x:c r="E10" s="59" t="str">
        <x:v>Ops Head</x:v>
      </x:c>
      <x:c r="F10" s="59" t="str">
        <x:v>SLA adherence</x:v>
      </x:c>
      <x:c r="G10" s="59" t="str">
        <x:v>High</x:v>
      </x:c>
      <x:c r="H10" s="60" t="str">
        <x:v>Not Started</x:v>
      </x:c>
    </x:row>
  </x:sheetData>
  <x:mergeCells>
    <x:mergeCell ref="A1:H1"/>
    <x:mergeCell ref="A2:H2"/>
  </x:mergeCells>
  <x:dataValidations count="1">
    <x:dataValidation type="list" sqref="H5:H10">
      <x:formula1>"Not Started,In Progress,Done,Blocked"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70" hidden="0" customWidth="1"/>
    <x:col min="4" max="4" width="55" hidden="0" customWidth="1"/>
  </x:cols>
  <x:sheetData>
    <x:row r="1" ht="28" customHeight="1">
      <x:c r="A1" s="5" t="str">
        <x:v>Sources and Notes</x:v>
      </x:c>
      <x:c r="B1" s="5"/>
      <x:c r="C1" s="5"/>
      <x:c r="D1" s="5"/>
    </x:row>
    <x:row r="2" ht="22" customHeight="1">
      <x:c r="A2" s="13" t="str">
        <x:v>Plain-text URLs are included for auditability. Project data is synthetic and safe for portfolio/GitHub use.</x:v>
      </x:c>
      <x:c r="B2" s="13"/>
      <x:c r="C2" s="13"/>
      <x:c r="D2" s="13"/>
    </x:row>
    <x:row r="4" ht="24" customHeight="1">
      <x:c r="A4" s="22" t="str">
        <x:v>Area</x:v>
      </x:c>
      <x:c r="B4" s="22" t="str">
        <x:v>Source / Description</x:v>
      </x:c>
      <x:c r="C4" s="22" t="str">
        <x:v>URL</x:v>
      </x:c>
      <x:c r="D4" s="22" t="str">
        <x:v>How used in this workbook</x:v>
      </x:c>
    </x:row>
    <x:row r="5">
      <x:c r="A5" s="52" t="str">
        <x:v>Operations automation</x:v>
      </x:c>
      <x:c r="B5" s="53" t="str">
        <x:v>Business process automation in 2026: exception discipline, clear controls, process redesign</x:v>
      </x:c>
      <x:c r="C5" s="53" t="str">
        <x:v>https://ardem.com/bpo/business-process-automation-services-fix-workflow-errors/</x:v>
      </x:c>
      <x:c r="D5" s="54" t="str">
        <x:v>Inspired KPI design around exceptions, rework, cycle time variance and controls.</x:v>
      </x:c>
    </x:row>
    <x:row r="6">
      <x:c r="A6" s="55" t="str">
        <x:v>Capacity planning</x:v>
      </x:c>
      <x:c r="B6" s="56" t="str">
        <x:v>Workforce capacity planning guide</x:v>
      </x:c>
      <x:c r="C6" s="56" t="str">
        <x:v>https://workinsync.io/blog/workforce-capacity-planning</x:v>
      </x:c>
      <x:c r="D6" s="57" t="str">
        <x:v>Used to frame workload, utilization, bottleneck and planning metrics.</x:v>
      </x:c>
    </x:row>
    <x:row r="7">
      <x:c r="A7" s="58" t="str">
        <x:v>Capacity planning</x:v>
      </x:c>
      <x:c r="B7" s="59" t="str">
        <x:v>Microsoft Dynamics 365 Contact Center capacity planning</x:v>
      </x:c>
      <x:c r="C7" s="59" t="str">
        <x:v>https://learn.microsoft.com/en-us/dynamics365/release-plan/2025wave1/service/dynamics365-contact-center/use-capacity-planning-predict-staffing-needs</x:v>
      </x:c>
      <x:c r="D7" s="60" t="str">
        <x:v>Supports short/long-term staffing, scenario analysis and queue/channel slicing concept.</x:v>
      </x:c>
    </x:row>
  </x:sheetData>
  <x:mergeCells>
    <x:mergeCell ref="A1:D1"/>
    <x:mergeCell ref="A2:D2"/>
  </x:mergeCells>
  <x:pageMargins left="0.7" right="0.7" top="0.75" bottom="0.75" header="0.3" footer="0.3"/>
</x:worksheet>
</file>